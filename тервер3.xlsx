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H5" i="1" l="1"/>
  <c r="F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2" i="2"/>
  <c r="F5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B6" i="2"/>
  <c r="B7" i="2"/>
  <c r="B5" i="2"/>
  <c r="I6" i="1"/>
  <c r="G6" i="1"/>
  <c r="H4" i="1" l="1"/>
  <c r="H3" i="1"/>
  <c r="K4" i="1" l="1"/>
  <c r="K3" i="1"/>
  <c r="E4" i="1" l="1"/>
  <c r="E3" i="1"/>
</calcChain>
</file>

<file path=xl/sharedStrings.xml><?xml version="1.0" encoding="utf-8"?>
<sst xmlns="http://schemas.openxmlformats.org/spreadsheetml/2006/main" count="148" uniqueCount="51">
  <si>
    <t>партия 1</t>
  </si>
  <si>
    <t>партия 2</t>
  </si>
  <si>
    <t>n1=</t>
  </si>
  <si>
    <t>n2=</t>
  </si>
  <si>
    <t>xср1=</t>
  </si>
  <si>
    <t>xср2=</t>
  </si>
  <si>
    <t>s2(1)=</t>
  </si>
  <si>
    <t>s2(2)=</t>
  </si>
  <si>
    <t>s(1)=</t>
  </si>
  <si>
    <t>s(2)=</t>
  </si>
  <si>
    <t>альфа=</t>
  </si>
  <si>
    <t>Двухвыборочный t-тест с одинаковыми дисперсиями</t>
  </si>
  <si>
    <t>Среднее</t>
  </si>
  <si>
    <t>Дисперсия</t>
  </si>
  <si>
    <t>Наблюдения</t>
  </si>
  <si>
    <t>Объединенная дисперсия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</si>
  <si>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</si>
  <si>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</si>
  <si>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</si>
  <si>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</si>
  <si>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</si>
  <si>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</si>
  <si>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</si>
  <si>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tрасч=</t>
  </si>
  <si>
    <t>tтабл=</t>
  </si>
  <si>
    <t>Завод</t>
  </si>
  <si>
    <t>А</t>
  </si>
  <si>
    <t>В</t>
  </si>
  <si>
    <t>хср</t>
  </si>
  <si>
    <t>s2</t>
  </si>
  <si>
    <t>n</t>
  </si>
  <si>
    <t>SE=</t>
  </si>
  <si>
    <t>Zнабл=</t>
  </si>
  <si>
    <t>Двухвыборочный z-тест для средних</t>
  </si>
  <si>
    <t>Известная дисперсия</t>
  </si>
  <si>
    <t>z</t>
  </si>
  <si>
    <t>P(Z&lt;=z) одностороннее</t>
  </si>
  <si>
    <t>z критическое одностороннее</t>
  </si>
  <si>
    <t>P(Z&lt;=z) двухстороннее</t>
  </si>
  <si>
    <t>z критическое двухстороннее</t>
  </si>
  <si>
    <t>Zкрит=</t>
  </si>
  <si>
    <t>№ партии</t>
  </si>
  <si>
    <t>Продолжительность горения в часах</t>
  </si>
  <si>
    <t>1 партия</t>
  </si>
  <si>
    <t>2 партия</t>
  </si>
  <si>
    <t>3 партия</t>
  </si>
  <si>
    <t>4 партия</t>
  </si>
  <si>
    <t>Завод А</t>
  </si>
  <si>
    <t>Завод В</t>
  </si>
  <si>
    <t>Двухвыборочный t-тест с различными дисперсиями</t>
  </si>
  <si>
    <t>sобщ=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</si>
</sst>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H6" sqref="H6"/>
    </sheetView>
  </sheetViews>
  <sheetFormatPr defaultRowHeight="14.4" x14ac:dyDescent="0.3"/>
  <cols>
    <col min="1" max="1" width="27.21875" customWidth="1"/>
  </cols>
  <sheetData>
    <row r="1" spans="1:13" x14ac:dyDescent="0.3">
      <c r="A1" t="s">
        <v>0</v>
      </c>
      <c r="B1">
        <v>1.98</v>
      </c>
      <c r="C1">
        <v>2.31</v>
      </c>
      <c r="D1">
        <v>2.25</v>
      </c>
      <c r="E1">
        <v>2.0699999999999998</v>
      </c>
      <c r="F1">
        <v>1.89</v>
      </c>
      <c r="G1">
        <v>2.13</v>
      </c>
      <c r="H1">
        <v>2.2200000000000002</v>
      </c>
      <c r="I1">
        <v>2.0099999999999998</v>
      </c>
      <c r="J1">
        <v>1.86</v>
      </c>
      <c r="K1">
        <v>1.95</v>
      </c>
      <c r="L1">
        <v>1.84</v>
      </c>
    </row>
    <row r="2" spans="1:13" x14ac:dyDescent="0.3">
      <c r="A2" t="s">
        <v>1</v>
      </c>
      <c r="B2">
        <v>2.19</v>
      </c>
      <c r="C2">
        <v>2.2599999999999998</v>
      </c>
      <c r="D2">
        <v>2.2799999999999998</v>
      </c>
      <c r="E2">
        <v>1.9</v>
      </c>
      <c r="F2">
        <v>2.0299999999999998</v>
      </c>
      <c r="G2">
        <v>2.08</v>
      </c>
      <c r="H2">
        <v>2</v>
      </c>
      <c r="I2" s="1">
        <v>2.04</v>
      </c>
      <c r="J2" s="1">
        <v>2.3199999999999998</v>
      </c>
      <c r="K2" s="1">
        <v>2.02</v>
      </c>
      <c r="L2" s="1">
        <v>2.2400000000000002</v>
      </c>
      <c r="M2" s="1">
        <v>2.35</v>
      </c>
    </row>
    <row r="3" spans="1:13" x14ac:dyDescent="0.3">
      <c r="A3" t="s">
        <v>2</v>
      </c>
      <c r="B3">
        <v>11</v>
      </c>
      <c r="D3" t="s">
        <v>4</v>
      </c>
      <c r="E3">
        <f>SUM(B1:L1)/11</f>
        <v>2.0463636363636364</v>
      </c>
      <c r="G3" t="s">
        <v>6</v>
      </c>
      <c r="H3">
        <f>_xlfn.VAR.S(B1:L1)</f>
        <v>2.6545454545454549E-2</v>
      </c>
      <c r="J3" t="s">
        <v>8</v>
      </c>
      <c r="K3">
        <f>SQRT(H3)</f>
        <v>0.16292775867068984</v>
      </c>
    </row>
    <row r="4" spans="1:13" x14ac:dyDescent="0.3">
      <c r="A4" t="s">
        <v>3</v>
      </c>
      <c r="B4">
        <v>12</v>
      </c>
      <c r="D4" t="s">
        <v>5</v>
      </c>
      <c r="E4">
        <f>SUM(B2:M2)/12</f>
        <v>2.1425000000000001</v>
      </c>
      <c r="G4" t="s">
        <v>7</v>
      </c>
      <c r="H4">
        <f>_xlfn.VAR.S(B2:M2)</f>
        <v>2.1838636363636355E-2</v>
      </c>
      <c r="J4" t="s">
        <v>9</v>
      </c>
      <c r="K4">
        <f>SQRT(H4)</f>
        <v>0.14777901191859538</v>
      </c>
    </row>
    <row r="5" spans="1:13" x14ac:dyDescent="0.3">
      <c r="G5" t="s">
        <v>50</v>
      </c>
      <c r="H5">
        <f>(H3+H4)/2</f>
        <v>2.4192045454545452E-2</v>
      </c>
    </row>
    <row r="6" spans="1:13" x14ac:dyDescent="0.3">
      <c r="A6" t="s">
        <v>10</v>
      </c>
      <c r="B6">
        <v>0.05</v>
      </c>
      <c r="F6" t="s">
        <v>23</v>
      </c>
      <c r="G6">
        <f>ABS(E3-E4)/(SQRT((H3+H4)/2*(1/B3+1/B4)))</f>
        <v>1.4807251181790313</v>
      </c>
      <c r="H6" t="s">
        <v>24</v>
      </c>
      <c r="I6">
        <f>_xlfn.T.INV.2T(B6,B3+B4-2)</f>
        <v>2.07961384472768</v>
      </c>
    </row>
    <row r="9" spans="1:13" x14ac:dyDescent="0.3">
      <c r="A9" t="s">
        <v>11</v>
      </c>
    </row>
    <row r="10" spans="1:13" ht="15" thickBot="1" x14ac:dyDescent="0.35"/>
    <row r="11" spans="1:13" x14ac:dyDescent="0.3">
      <c r="A11" s="4"/>
      <c r="B11" s="4" t="s">
        <v>0</v>
      </c>
      <c r="C11" s="4" t="s">
        <v>1</v>
      </c>
    </row>
    <row r="12" spans="1:13" x14ac:dyDescent="0.3">
      <c r="A12" s="2" t="s">
        <v>12</v>
      </c>
      <c r="B12" s="2">
        <v>2.0463636363636364</v>
      </c>
      <c r="C12" s="2">
        <v>2.1425000000000001</v>
      </c>
    </row>
    <row r="13" spans="1:13" x14ac:dyDescent="0.3">
      <c r="A13" s="2" t="s">
        <v>13</v>
      </c>
      <c r="B13" s="2">
        <v>2.6545454545454549E-2</v>
      </c>
      <c r="C13" s="2">
        <v>2.1838636363636355E-2</v>
      </c>
    </row>
    <row r="14" spans="1:13" x14ac:dyDescent="0.3">
      <c r="A14" s="2" t="s">
        <v>14</v>
      </c>
      <c r="B14" s="2">
        <v>11</v>
      </c>
      <c r="C14" s="2">
        <v>12</v>
      </c>
    </row>
    <row r="15" spans="1:13" x14ac:dyDescent="0.3">
      <c r="A15" s="2" t="s">
        <v>15</v>
      </c>
      <c r="B15" s="2">
        <v>2.4079978354978354E-2</v>
      </c>
      <c r="C15" s="2"/>
    </row>
    <row r="16" spans="1:13" x14ac:dyDescent="0.3">
      <c r="A16" s="2" t="s">
        <v>16</v>
      </c>
      <c r="B16" s="2">
        <v>0</v>
      </c>
      <c r="C16" s="2"/>
    </row>
    <row r="17" spans="1:3" x14ac:dyDescent="0.3">
      <c r="A17" s="2" t="s">
        <v>17</v>
      </c>
      <c r="B17" s="2">
        <v>21</v>
      </c>
      <c r="C17" s="2"/>
    </row>
    <row r="18" spans="1:3" x14ac:dyDescent="0.3">
      <c r="A18" s="2" t="s">
        <v>18</v>
      </c>
      <c r="B18" s="2">
        <v>-1.4841667314739115</v>
      </c>
      <c r="C18" s="2"/>
    </row>
    <row r="19" spans="1:3" x14ac:dyDescent="0.3">
      <c r="A19" s="2" t="s">
        <v>19</v>
      </c>
      <c r="B19" s="2">
        <v>7.6310169843039552E-2</v>
      </c>
      <c r="C19" s="2"/>
    </row>
    <row r="20" spans="1:3" x14ac:dyDescent="0.3">
      <c r="A20" s="2" t="s">
        <v>20</v>
      </c>
      <c r="B20" s="2">
        <v>1.7207429028118781</v>
      </c>
      <c r="C20" s="2"/>
    </row>
    <row r="21" spans="1:3" x14ac:dyDescent="0.3">
      <c r="A21" s="2" t="s">
        <v>21</v>
      </c>
      <c r="B21" s="2">
        <v>0.1526203396860791</v>
      </c>
      <c r="C21" s="2"/>
    </row>
    <row r="22" spans="1:3" ht="15" thickBot="1" x14ac:dyDescent="0.35">
      <c r="A22" s="3" t="s">
        <v>22</v>
      </c>
      <c r="B22" s="3">
        <v>2.07961384472768</v>
      </c>
      <c r="C22" s="3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workbookViewId="0">
      <selection activeCell="J26" sqref="J26"/>
    </sheetView>
  </sheetViews>
  <sheetFormatPr defaultRowHeight="14.4" x14ac:dyDescent="0.3"/>
  <sheetData>
    <row r="1" spans="1:11" x14ac:dyDescent="0.3">
      <c r="A1" t="s">
        <v>25</v>
      </c>
      <c r="B1" t="s">
        <v>28</v>
      </c>
      <c r="C1" t="s">
        <v>29</v>
      </c>
      <c r="D1" t="s">
        <v>30</v>
      </c>
      <c r="F1" t="s">
        <v>47</v>
      </c>
      <c r="G1" t="s">
        <v>48</v>
      </c>
    </row>
    <row r="2" spans="1:11" x14ac:dyDescent="0.3">
      <c r="A2" t="s">
        <v>26</v>
      </c>
      <c r="B2">
        <v>120.8</v>
      </c>
      <c r="C2">
        <v>8</v>
      </c>
      <c r="D2">
        <v>50</v>
      </c>
      <c r="F2">
        <f ca="1">_xlfn.NORM.INV(RAND(), 120.8, 8)</f>
        <v>117.43774956130078</v>
      </c>
      <c r="G2">
        <f ca="1">_xlfn.NORM.INV(RAND(), 128.2, 9.4)</f>
        <v>156.46008629866267</v>
      </c>
    </row>
    <row r="3" spans="1:11" x14ac:dyDescent="0.3">
      <c r="A3" t="s">
        <v>27</v>
      </c>
      <c r="B3">
        <v>128.19999999999999</v>
      </c>
      <c r="C3">
        <v>9.4</v>
      </c>
      <c r="D3">
        <v>50</v>
      </c>
      <c r="F3">
        <f t="shared" ref="F3:F50" ca="1" si="0">_xlfn.NORM.INV(RAND(), 120.8, 8)</f>
        <v>123.77056484241136</v>
      </c>
      <c r="G3">
        <f t="shared" ref="G3:G51" ca="1" si="1">_xlfn.NORM.INV(RAND(), 128.2, 9.4)</f>
        <v>125.99250168767207</v>
      </c>
    </row>
    <row r="4" spans="1:11" x14ac:dyDescent="0.3">
      <c r="F4">
        <f t="shared" ca="1" si="0"/>
        <v>119.30454246723123</v>
      </c>
      <c r="G4">
        <f t="shared" ca="1" si="1"/>
        <v>128.64266801201356</v>
      </c>
    </row>
    <row r="5" spans="1:11" x14ac:dyDescent="0.3">
      <c r="A5" t="s">
        <v>31</v>
      </c>
      <c r="B5">
        <f>SQRT((C2/D2+C3/D3))</f>
        <v>0.58991524815010499</v>
      </c>
      <c r="F5">
        <f t="shared" ca="1" si="0"/>
        <v>128.13904131007541</v>
      </c>
      <c r="G5">
        <f t="shared" ca="1" si="1"/>
        <v>114.12522679961813</v>
      </c>
    </row>
    <row r="6" spans="1:11" x14ac:dyDescent="0.3">
      <c r="A6" t="s">
        <v>32</v>
      </c>
      <c r="B6">
        <f>ABS(B2-B3)/B5</f>
        <v>12.544174816984979</v>
      </c>
      <c r="F6">
        <f t="shared" ca="1" si="0"/>
        <v>123.93181905561956</v>
      </c>
      <c r="G6">
        <f t="shared" ca="1" si="1"/>
        <v>117.22719316822281</v>
      </c>
    </row>
    <row r="7" spans="1:11" x14ac:dyDescent="0.3">
      <c r="A7" t="s">
        <v>40</v>
      </c>
      <c r="B7">
        <f>ABS(_xlfn.NORM.S.INV(0.025))</f>
        <v>1.9599639845400538</v>
      </c>
      <c r="F7">
        <f t="shared" ca="1" si="0"/>
        <v>128.37844175463488</v>
      </c>
      <c r="G7">
        <f t="shared" ca="1" si="1"/>
        <v>117.63169983097916</v>
      </c>
    </row>
    <row r="8" spans="1:11" x14ac:dyDescent="0.3">
      <c r="F8">
        <f t="shared" ca="1" si="0"/>
        <v>122.68684898078961</v>
      </c>
      <c r="G8">
        <f t="shared" ca="1" si="1"/>
        <v>127.75510698407119</v>
      </c>
    </row>
    <row r="9" spans="1:11" x14ac:dyDescent="0.3">
      <c r="A9" t="s">
        <v>33</v>
      </c>
      <c r="F9">
        <f t="shared" ca="1" si="0"/>
        <v>122.84232224340037</v>
      </c>
      <c r="G9">
        <f t="shared" ca="1" si="1"/>
        <v>121.56963062373767</v>
      </c>
    </row>
    <row r="10" spans="1:11" ht="15" thickBot="1" x14ac:dyDescent="0.35">
      <c r="F10">
        <f t="shared" ca="1" si="0"/>
        <v>120.00987548140712</v>
      </c>
      <c r="G10">
        <f t="shared" ca="1" si="1"/>
        <v>126.41358745779684</v>
      </c>
      <c r="I10" t="s">
        <v>49</v>
      </c>
    </row>
    <row r="11" spans="1:11" ht="15" thickBot="1" x14ac:dyDescent="0.35">
      <c r="A11" s="4"/>
      <c r="B11" s="4" t="s">
        <v>47</v>
      </c>
      <c r="C11" s="4" t="s">
        <v>48</v>
      </c>
      <c r="F11">
        <f t="shared" ca="1" si="0"/>
        <v>110.53440232492098</v>
      </c>
      <c r="G11">
        <f t="shared" ca="1" si="1"/>
        <v>129.9292475806796</v>
      </c>
    </row>
    <row r="12" spans="1:11" x14ac:dyDescent="0.3">
      <c r="A12" s="2" t="s">
        <v>12</v>
      </c>
      <c r="B12" s="2">
        <v>122.03845211872085</v>
      </c>
      <c r="C12" s="2">
        <v>129.16351374977316</v>
      </c>
      <c r="F12">
        <f t="shared" ca="1" si="0"/>
        <v>121.67399818511811</v>
      </c>
      <c r="G12">
        <f t="shared" ca="1" si="1"/>
        <v>135.76581921812044</v>
      </c>
      <c r="I12" s="4"/>
      <c r="J12" s="4" t="s">
        <v>47</v>
      </c>
      <c r="K12" s="4" t="s">
        <v>48</v>
      </c>
    </row>
    <row r="13" spans="1:11" x14ac:dyDescent="0.3">
      <c r="A13" s="2" t="s">
        <v>34</v>
      </c>
      <c r="B13" s="2">
        <v>8</v>
      </c>
      <c r="C13" s="2">
        <v>9.4</v>
      </c>
      <c r="F13">
        <f t="shared" ca="1" si="0"/>
        <v>115.11637397446907</v>
      </c>
      <c r="G13">
        <f t="shared" ca="1" si="1"/>
        <v>130.37326337369964</v>
      </c>
      <c r="I13" s="2" t="s">
        <v>12</v>
      </c>
      <c r="J13" s="2">
        <v>120.5542236420853</v>
      </c>
      <c r="K13" s="2">
        <v>126.09474466817299</v>
      </c>
    </row>
    <row r="14" spans="1:11" x14ac:dyDescent="0.3">
      <c r="A14" s="2" t="s">
        <v>14</v>
      </c>
      <c r="B14" s="2">
        <v>50</v>
      </c>
      <c r="C14" s="2">
        <v>50</v>
      </c>
      <c r="F14">
        <f t="shared" ca="1" si="0"/>
        <v>139.21921554490595</v>
      </c>
      <c r="G14">
        <f t="shared" ca="1" si="1"/>
        <v>114.7803159715813</v>
      </c>
      <c r="I14" s="2" t="s">
        <v>13</v>
      </c>
      <c r="J14" s="2">
        <v>64.377925903806187</v>
      </c>
      <c r="K14" s="2">
        <v>73.541741866400429</v>
      </c>
    </row>
    <row r="15" spans="1:11" x14ac:dyDescent="0.3">
      <c r="A15" s="2" t="s">
        <v>16</v>
      </c>
      <c r="B15" s="2">
        <v>0</v>
      </c>
      <c r="C15" s="2"/>
      <c r="F15">
        <f t="shared" ca="1" si="0"/>
        <v>116.85590954781426</v>
      </c>
      <c r="G15">
        <f t="shared" ca="1" si="1"/>
        <v>128.57713505772713</v>
      </c>
      <c r="I15" s="2" t="s">
        <v>14</v>
      </c>
      <c r="J15" s="2">
        <v>50</v>
      </c>
      <c r="K15" s="2">
        <v>50</v>
      </c>
    </row>
    <row r="16" spans="1:11" x14ac:dyDescent="0.3">
      <c r="A16" s="2" t="s">
        <v>35</v>
      </c>
      <c r="B16" s="2">
        <v>-12.078110632663829</v>
      </c>
      <c r="C16" s="2"/>
      <c r="F16">
        <f t="shared" ca="1" si="0"/>
        <v>113.00209827884007</v>
      </c>
      <c r="G16">
        <f t="shared" ca="1" si="1"/>
        <v>113.43837856934397</v>
      </c>
      <c r="I16" s="2" t="s">
        <v>16</v>
      </c>
      <c r="J16" s="2">
        <v>0</v>
      </c>
      <c r="K16" s="2"/>
    </row>
    <row r="17" spans="1:11" x14ac:dyDescent="0.3">
      <c r="A17" s="2" t="s">
        <v>36</v>
      </c>
      <c r="B17" s="2">
        <v>0</v>
      </c>
      <c r="C17" s="2"/>
      <c r="F17">
        <f t="shared" ca="1" si="0"/>
        <v>119.57457778599348</v>
      </c>
      <c r="G17">
        <f t="shared" ca="1" si="1"/>
        <v>153.81324755351514</v>
      </c>
      <c r="I17" s="2" t="s">
        <v>17</v>
      </c>
      <c r="J17" s="2">
        <v>98</v>
      </c>
      <c r="K17" s="2"/>
    </row>
    <row r="18" spans="1:11" x14ac:dyDescent="0.3">
      <c r="A18" s="2" t="s">
        <v>37</v>
      </c>
      <c r="B18" s="2">
        <v>1.6448536269514715</v>
      </c>
      <c r="C18" s="2"/>
      <c r="F18">
        <f t="shared" ca="1" si="0"/>
        <v>127.33412202010125</v>
      </c>
      <c r="G18">
        <f t="shared" ca="1" si="1"/>
        <v>129.72860861748612</v>
      </c>
      <c r="I18" s="2" t="s">
        <v>18</v>
      </c>
      <c r="J18" s="2">
        <v>-3.3359728569396103</v>
      </c>
      <c r="K18" s="2"/>
    </row>
    <row r="19" spans="1:11" x14ac:dyDescent="0.3">
      <c r="A19" s="2" t="s">
        <v>38</v>
      </c>
      <c r="B19" s="2">
        <v>0</v>
      </c>
      <c r="C19" s="2"/>
      <c r="F19">
        <f t="shared" ca="1" si="0"/>
        <v>109.53376847728276</v>
      </c>
      <c r="G19">
        <f t="shared" ca="1" si="1"/>
        <v>128.65818444866491</v>
      </c>
      <c r="I19" s="2" t="s">
        <v>19</v>
      </c>
      <c r="J19" s="2">
        <v>6.0083460599948287E-4</v>
      </c>
      <c r="K19" s="2"/>
    </row>
    <row r="20" spans="1:11" ht="15" thickBot="1" x14ac:dyDescent="0.35">
      <c r="A20" s="3" t="s">
        <v>39</v>
      </c>
      <c r="B20" s="3">
        <v>1.9599639845400536</v>
      </c>
      <c r="C20" s="3"/>
      <c r="F20">
        <f t="shared" ca="1" si="0"/>
        <v>124.401926456334</v>
      </c>
      <c r="G20">
        <f t="shared" ca="1" si="1"/>
        <v>120.42185581339172</v>
      </c>
      <c r="I20" s="2" t="s">
        <v>20</v>
      </c>
      <c r="J20" s="2">
        <v>1.6605512170657302</v>
      </c>
      <c r="K20" s="2"/>
    </row>
    <row r="21" spans="1:11" x14ac:dyDescent="0.3">
      <c r="F21">
        <f t="shared" ca="1" si="0"/>
        <v>125.50233150365449</v>
      </c>
      <c r="G21">
        <f t="shared" ca="1" si="1"/>
        <v>137.20612482576092</v>
      </c>
      <c r="I21" s="2" t="s">
        <v>21</v>
      </c>
      <c r="J21" s="2">
        <v>1.2016692119989657E-3</v>
      </c>
      <c r="K21" s="2"/>
    </row>
    <row r="22" spans="1:11" ht="15" thickBot="1" x14ac:dyDescent="0.35">
      <c r="F22">
        <f t="shared" ca="1" si="0"/>
        <v>121.21025840488048</v>
      </c>
      <c r="G22">
        <f t="shared" ca="1" si="1"/>
        <v>138.6339390189801</v>
      </c>
      <c r="I22" s="3" t="s">
        <v>22</v>
      </c>
      <c r="J22" s="3">
        <v>1.9844674545084788</v>
      </c>
      <c r="K22" s="3"/>
    </row>
    <row r="23" spans="1:11" x14ac:dyDescent="0.3">
      <c r="F23">
        <f t="shared" ca="1" si="0"/>
        <v>111.79092126362528</v>
      </c>
      <c r="G23">
        <f t="shared" ca="1" si="1"/>
        <v>125.0027515061221</v>
      </c>
    </row>
    <row r="24" spans="1:11" x14ac:dyDescent="0.3">
      <c r="F24">
        <f t="shared" ca="1" si="0"/>
        <v>100.94146996402458</v>
      </c>
      <c r="G24">
        <f t="shared" ca="1" si="1"/>
        <v>125.05987966118587</v>
      </c>
    </row>
    <row r="25" spans="1:11" x14ac:dyDescent="0.3">
      <c r="F25">
        <f t="shared" ca="1" si="0"/>
        <v>115.95806158558447</v>
      </c>
      <c r="G25">
        <f t="shared" ca="1" si="1"/>
        <v>128.2795898105833</v>
      </c>
    </row>
    <row r="26" spans="1:11" x14ac:dyDescent="0.3">
      <c r="F26">
        <f t="shared" ca="1" si="0"/>
        <v>129.2458332849786</v>
      </c>
      <c r="G26">
        <f t="shared" ca="1" si="1"/>
        <v>112.2534882434078</v>
      </c>
    </row>
    <row r="27" spans="1:11" x14ac:dyDescent="0.3">
      <c r="F27">
        <f t="shared" ca="1" si="0"/>
        <v>126.21909860605744</v>
      </c>
      <c r="G27">
        <f t="shared" ca="1" si="1"/>
        <v>128.03645192512212</v>
      </c>
    </row>
    <row r="28" spans="1:11" x14ac:dyDescent="0.3">
      <c r="F28">
        <f t="shared" ca="1" si="0"/>
        <v>125.83441415662216</v>
      </c>
      <c r="G28">
        <f t="shared" ca="1" si="1"/>
        <v>129.45727988632981</v>
      </c>
    </row>
    <row r="29" spans="1:11" x14ac:dyDescent="0.3">
      <c r="F29">
        <f t="shared" ca="1" si="0"/>
        <v>122.77588850458993</v>
      </c>
      <c r="G29">
        <f t="shared" ca="1" si="1"/>
        <v>125.20239131782171</v>
      </c>
    </row>
    <row r="30" spans="1:11" x14ac:dyDescent="0.3">
      <c r="F30">
        <f t="shared" ca="1" si="0"/>
        <v>107.56087732436885</v>
      </c>
      <c r="G30">
        <f t="shared" ca="1" si="1"/>
        <v>108.32560789011556</v>
      </c>
    </row>
    <row r="31" spans="1:11" x14ac:dyDescent="0.3">
      <c r="F31">
        <f t="shared" ca="1" si="0"/>
        <v>127.83613504942394</v>
      </c>
      <c r="G31">
        <f t="shared" ca="1" si="1"/>
        <v>116.58184482790723</v>
      </c>
    </row>
    <row r="32" spans="1:11" x14ac:dyDescent="0.3">
      <c r="F32">
        <f t="shared" ca="1" si="0"/>
        <v>122.12239807117159</v>
      </c>
      <c r="G32">
        <f t="shared" ca="1" si="1"/>
        <v>139.78966154466332</v>
      </c>
    </row>
    <row r="33" spans="6:7" x14ac:dyDescent="0.3">
      <c r="F33">
        <f t="shared" ca="1" si="0"/>
        <v>126.91713333693808</v>
      </c>
      <c r="G33">
        <f t="shared" ca="1" si="1"/>
        <v>131.76030452847971</v>
      </c>
    </row>
    <row r="34" spans="6:7" x14ac:dyDescent="0.3">
      <c r="F34">
        <f t="shared" ca="1" si="0"/>
        <v>136.40805609388755</v>
      </c>
      <c r="G34">
        <f t="shared" ca="1" si="1"/>
        <v>127.57173049503314</v>
      </c>
    </row>
    <row r="35" spans="6:7" x14ac:dyDescent="0.3">
      <c r="F35">
        <f t="shared" ca="1" si="0"/>
        <v>123.30026497076841</v>
      </c>
      <c r="G35">
        <f t="shared" ca="1" si="1"/>
        <v>125.42147962799108</v>
      </c>
    </row>
    <row r="36" spans="6:7" x14ac:dyDescent="0.3">
      <c r="F36">
        <f t="shared" ca="1" si="0"/>
        <v>121.40664141427935</v>
      </c>
      <c r="G36">
        <f t="shared" ca="1" si="1"/>
        <v>115.71906796934852</v>
      </c>
    </row>
    <row r="37" spans="6:7" x14ac:dyDescent="0.3">
      <c r="F37">
        <f t="shared" ca="1" si="0"/>
        <v>128.08314941563239</v>
      </c>
      <c r="G37">
        <f t="shared" ca="1" si="1"/>
        <v>122.44373037539471</v>
      </c>
    </row>
    <row r="38" spans="6:7" x14ac:dyDescent="0.3">
      <c r="F38">
        <f t="shared" ca="1" si="0"/>
        <v>123.94045432557661</v>
      </c>
      <c r="G38">
        <f t="shared" ca="1" si="1"/>
        <v>121.16841414635302</v>
      </c>
    </row>
    <row r="39" spans="6:7" x14ac:dyDescent="0.3">
      <c r="F39">
        <f t="shared" ca="1" si="0"/>
        <v>114.65122143644524</v>
      </c>
      <c r="G39">
        <f t="shared" ca="1" si="1"/>
        <v>124.06178973065467</v>
      </c>
    </row>
    <row r="40" spans="6:7" x14ac:dyDescent="0.3">
      <c r="F40">
        <f t="shared" ca="1" si="0"/>
        <v>126.54144834404585</v>
      </c>
      <c r="G40">
        <f t="shared" ca="1" si="1"/>
        <v>123.79774120477195</v>
      </c>
    </row>
    <row r="41" spans="6:7" x14ac:dyDescent="0.3">
      <c r="F41">
        <f t="shared" ca="1" si="0"/>
        <v>134.73696742042731</v>
      </c>
      <c r="G41">
        <f t="shared" ca="1" si="1"/>
        <v>120.88221154431288</v>
      </c>
    </row>
    <row r="42" spans="6:7" x14ac:dyDescent="0.3">
      <c r="F42">
        <f t="shared" ca="1" si="0"/>
        <v>114.48792277657114</v>
      </c>
      <c r="G42">
        <f t="shared" ca="1" si="1"/>
        <v>129.46847294934685</v>
      </c>
    </row>
    <row r="43" spans="6:7" x14ac:dyDescent="0.3">
      <c r="F43">
        <f t="shared" ca="1" si="0"/>
        <v>118.574263725712</v>
      </c>
      <c r="G43">
        <f t="shared" ca="1" si="1"/>
        <v>115.78606994637474</v>
      </c>
    </row>
    <row r="44" spans="6:7" x14ac:dyDescent="0.3">
      <c r="F44">
        <f t="shared" ca="1" si="0"/>
        <v>119.82358362085364</v>
      </c>
      <c r="G44">
        <f t="shared" ca="1" si="1"/>
        <v>115.9316897857524</v>
      </c>
    </row>
    <row r="45" spans="6:7" x14ac:dyDescent="0.3">
      <c r="F45">
        <f t="shared" ca="1" si="0"/>
        <v>107.79211964607624</v>
      </c>
      <c r="G45">
        <f t="shared" ca="1" si="1"/>
        <v>123.97249079949771</v>
      </c>
    </row>
    <row r="46" spans="6:7" x14ac:dyDescent="0.3">
      <c r="F46">
        <f t="shared" ca="1" si="0"/>
        <v>128.30814643755551</v>
      </c>
      <c r="G46">
        <f t="shared" ca="1" si="1"/>
        <v>145.26240848379882</v>
      </c>
    </row>
    <row r="47" spans="6:7" x14ac:dyDescent="0.3">
      <c r="F47">
        <f t="shared" ca="1" si="0"/>
        <v>127.39318433303649</v>
      </c>
      <c r="G47">
        <f t="shared" ca="1" si="1"/>
        <v>111.10973638927186</v>
      </c>
    </row>
    <row r="48" spans="6:7" x14ac:dyDescent="0.3">
      <c r="F48">
        <f t="shared" ca="1" si="0"/>
        <v>119.02700167904676</v>
      </c>
      <c r="G48">
        <f t="shared" ca="1" si="1"/>
        <v>131.00314513460251</v>
      </c>
    </row>
    <row r="49" spans="6:7" x14ac:dyDescent="0.3">
      <c r="F49">
        <f t="shared" ca="1" si="0"/>
        <v>118.33355757496177</v>
      </c>
      <c r="G49">
        <f t="shared" ca="1" si="1"/>
        <v>127.6211365740819</v>
      </c>
    </row>
    <row r="50" spans="6:7" x14ac:dyDescent="0.3">
      <c r="F50">
        <f t="shared" ca="1" si="0"/>
        <v>107.7276464109691</v>
      </c>
      <c r="G50">
        <f t="shared" ca="1" si="1"/>
        <v>135.66371907339291</v>
      </c>
    </row>
    <row r="51" spans="6:7" x14ac:dyDescent="0.3">
      <c r="F51">
        <f ca="1">_xlfn.NORM.INV(RAND(), 120.8, 8)</f>
        <v>132.24092444744252</v>
      </c>
      <c r="G51">
        <f t="shared" ca="1" si="1"/>
        <v>116.70288141176569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S20" sqref="S20"/>
    </sheetView>
  </sheetViews>
  <sheetFormatPr defaultRowHeight="14.4" x14ac:dyDescent="0.3"/>
  <cols>
    <col min="1" max="1" width="9.5546875" customWidth="1"/>
  </cols>
  <sheetData>
    <row r="1" spans="1:15" x14ac:dyDescent="0.3">
      <c r="A1" t="s">
        <v>41</v>
      </c>
      <c r="B1" s="5" t="s">
        <v>42</v>
      </c>
      <c r="C1" s="5"/>
      <c r="D1" s="5"/>
      <c r="E1" s="5"/>
      <c r="F1" s="5"/>
      <c r="G1" s="5"/>
      <c r="H1" s="5"/>
      <c r="I1" s="5"/>
    </row>
    <row r="2" spans="1:15" x14ac:dyDescent="0.3">
      <c r="A2" t="s">
        <v>43</v>
      </c>
      <c r="B2">
        <v>1600</v>
      </c>
      <c r="C2">
        <v>1610</v>
      </c>
      <c r="D2">
        <v>1650</v>
      </c>
      <c r="E2">
        <v>1680</v>
      </c>
      <c r="F2">
        <v>1700</v>
      </c>
      <c r="G2">
        <v>1700</v>
      </c>
      <c r="H2">
        <v>1800</v>
      </c>
    </row>
    <row r="3" spans="1:15" x14ac:dyDescent="0.3">
      <c r="A3" t="s">
        <v>44</v>
      </c>
      <c r="B3">
        <v>1580</v>
      </c>
      <c r="C3">
        <v>1640</v>
      </c>
      <c r="D3">
        <v>1640</v>
      </c>
      <c r="E3">
        <v>1700</v>
      </c>
      <c r="F3">
        <v>1750</v>
      </c>
    </row>
    <row r="4" spans="1:15" x14ac:dyDescent="0.3">
      <c r="A4" t="s">
        <v>45</v>
      </c>
      <c r="B4">
        <v>1460</v>
      </c>
      <c r="C4">
        <v>1550</v>
      </c>
      <c r="D4">
        <v>1600</v>
      </c>
      <c r="E4">
        <v>1620</v>
      </c>
      <c r="F4">
        <v>1640</v>
      </c>
      <c r="G4">
        <v>1660</v>
      </c>
      <c r="H4">
        <v>1740</v>
      </c>
      <c r="I4">
        <v>1820</v>
      </c>
    </row>
    <row r="5" spans="1:15" x14ac:dyDescent="0.3">
      <c r="A5" t="s">
        <v>46</v>
      </c>
      <c r="B5">
        <v>1510</v>
      </c>
      <c r="C5">
        <v>1520</v>
      </c>
      <c r="D5">
        <v>1530</v>
      </c>
      <c r="E5">
        <v>1570</v>
      </c>
      <c r="F5">
        <v>1600</v>
      </c>
      <c r="G5">
        <v>1680</v>
      </c>
    </row>
    <row r="8" spans="1:15" x14ac:dyDescent="0.3">
      <c r="A8" t="s">
        <v>49</v>
      </c>
      <c r="G8" t="s">
        <v>49</v>
      </c>
      <c r="M8" t="s">
        <v>49</v>
      </c>
    </row>
    <row r="9" spans="1:15" ht="15" thickBot="1" x14ac:dyDescent="0.35"/>
    <row r="10" spans="1:15" x14ac:dyDescent="0.3">
      <c r="A10" s="4"/>
      <c r="B10" s="4" t="s">
        <v>43</v>
      </c>
      <c r="C10" s="4" t="s">
        <v>46</v>
      </c>
      <c r="G10" s="4"/>
      <c r="H10" s="4" t="s">
        <v>43</v>
      </c>
      <c r="I10" s="4" t="s">
        <v>44</v>
      </c>
      <c r="M10" s="4"/>
      <c r="N10" s="4" t="s">
        <v>43</v>
      </c>
      <c r="O10" s="4" t="s">
        <v>45</v>
      </c>
    </row>
    <row r="11" spans="1:15" x14ac:dyDescent="0.3">
      <c r="A11" s="2" t="s">
        <v>12</v>
      </c>
      <c r="B11" s="2">
        <v>1677.1428571428571</v>
      </c>
      <c r="C11" s="2">
        <v>1568.3333333333333</v>
      </c>
      <c r="G11" s="2" t="s">
        <v>12</v>
      </c>
      <c r="H11" s="2">
        <v>1677.1428571428571</v>
      </c>
      <c r="I11" s="2">
        <v>1662</v>
      </c>
      <c r="M11" s="2" t="s">
        <v>12</v>
      </c>
      <c r="N11" s="2">
        <v>1677.1428571428571</v>
      </c>
      <c r="O11" s="2">
        <v>1636.25</v>
      </c>
    </row>
    <row r="12" spans="1:15" x14ac:dyDescent="0.3">
      <c r="A12" s="2" t="s">
        <v>13</v>
      </c>
      <c r="B12" s="2">
        <v>4557.1428571428578</v>
      </c>
      <c r="C12" s="2">
        <v>4136.666666666667</v>
      </c>
      <c r="G12" s="2" t="s">
        <v>13</v>
      </c>
      <c r="H12" s="2">
        <v>4557.1428571428578</v>
      </c>
      <c r="I12" s="2">
        <v>4220</v>
      </c>
      <c r="M12" s="2" t="s">
        <v>13</v>
      </c>
      <c r="N12" s="2">
        <v>4557.1428571428578</v>
      </c>
      <c r="O12" s="2">
        <v>12169.642857142857</v>
      </c>
    </row>
    <row r="13" spans="1:15" x14ac:dyDescent="0.3">
      <c r="A13" s="2" t="s">
        <v>14</v>
      </c>
      <c r="B13" s="2">
        <v>7</v>
      </c>
      <c r="C13" s="2">
        <v>6</v>
      </c>
      <c r="G13" s="2" t="s">
        <v>14</v>
      </c>
      <c r="H13" s="2">
        <v>7</v>
      </c>
      <c r="I13" s="2">
        <v>5</v>
      </c>
      <c r="M13" s="2" t="s">
        <v>14</v>
      </c>
      <c r="N13" s="2">
        <v>7</v>
      </c>
      <c r="O13" s="2">
        <v>8</v>
      </c>
    </row>
    <row r="14" spans="1:15" x14ac:dyDescent="0.3">
      <c r="A14" s="2" t="s">
        <v>16</v>
      </c>
      <c r="B14" s="2">
        <v>0</v>
      </c>
      <c r="C14" s="2"/>
      <c r="G14" s="2" t="s">
        <v>16</v>
      </c>
      <c r="H14" s="2">
        <v>0</v>
      </c>
      <c r="I14" s="2"/>
      <c r="M14" s="2" t="s">
        <v>16</v>
      </c>
      <c r="N14" s="2">
        <v>0</v>
      </c>
      <c r="O14" s="2"/>
    </row>
    <row r="15" spans="1:15" x14ac:dyDescent="0.3">
      <c r="A15" s="2" t="s">
        <v>17</v>
      </c>
      <c r="B15" s="2">
        <v>11</v>
      </c>
      <c r="C15" s="2"/>
      <c r="G15" s="2" t="s">
        <v>17</v>
      </c>
      <c r="H15" s="2">
        <v>9</v>
      </c>
      <c r="I15" s="2"/>
      <c r="M15" s="2" t="s">
        <v>17</v>
      </c>
      <c r="N15" s="2">
        <v>12</v>
      </c>
      <c r="O15" s="2"/>
    </row>
    <row r="16" spans="1:15" x14ac:dyDescent="0.3">
      <c r="A16" s="2" t="s">
        <v>18</v>
      </c>
      <c r="B16" s="2">
        <v>2.9719342300412155</v>
      </c>
      <c r="C16" s="2"/>
      <c r="G16" s="2" t="s">
        <v>18</v>
      </c>
      <c r="H16" s="2">
        <v>0.39163749555423299</v>
      </c>
      <c r="I16" s="2"/>
      <c r="M16" s="2" t="s">
        <v>18</v>
      </c>
      <c r="N16" s="2">
        <v>0.87739463601532508</v>
      </c>
      <c r="O16" s="2"/>
    </row>
    <row r="17" spans="1:15" x14ac:dyDescent="0.3">
      <c r="A17" s="2" t="s">
        <v>19</v>
      </c>
      <c r="B17" s="2">
        <v>6.3506752586126314E-3</v>
      </c>
      <c r="C17" s="2"/>
      <c r="G17" s="2" t="s">
        <v>19</v>
      </c>
      <c r="H17" s="2">
        <v>0.35221871251573666</v>
      </c>
      <c r="I17" s="2"/>
      <c r="M17" s="2" t="s">
        <v>19</v>
      </c>
      <c r="N17" s="2">
        <v>0.19874919498797722</v>
      </c>
      <c r="O17" s="2"/>
    </row>
    <row r="18" spans="1:15" x14ac:dyDescent="0.3">
      <c r="A18" s="2" t="s">
        <v>20</v>
      </c>
      <c r="B18" s="2">
        <v>1.7958848187040437</v>
      </c>
      <c r="C18" s="2"/>
      <c r="G18" s="2" t="s">
        <v>20</v>
      </c>
      <c r="H18" s="2">
        <v>1.8331129326562374</v>
      </c>
      <c r="I18" s="2"/>
      <c r="M18" s="2" t="s">
        <v>20</v>
      </c>
      <c r="N18" s="2">
        <v>1.7822875556493194</v>
      </c>
      <c r="O18" s="2"/>
    </row>
    <row r="19" spans="1:15" x14ac:dyDescent="0.3">
      <c r="A19" s="2" t="s">
        <v>21</v>
      </c>
      <c r="B19" s="2">
        <v>1.2701350517225263E-2</v>
      </c>
      <c r="C19" s="2"/>
      <c r="G19" s="2" t="s">
        <v>21</v>
      </c>
      <c r="H19" s="2">
        <v>0.70443742503147333</v>
      </c>
      <c r="I19" s="2"/>
      <c r="M19" s="2" t="s">
        <v>21</v>
      </c>
      <c r="N19" s="2">
        <v>0.39749838997595444</v>
      </c>
      <c r="O19" s="2"/>
    </row>
    <row r="20" spans="1:15" ht="15" thickBot="1" x14ac:dyDescent="0.35">
      <c r="A20" s="3" t="s">
        <v>22</v>
      </c>
      <c r="B20" s="3">
        <v>2.2009851600916384</v>
      </c>
      <c r="C20" s="3"/>
      <c r="G20" s="3" t="s">
        <v>22</v>
      </c>
      <c r="H20" s="3">
        <v>2.2621571627982053</v>
      </c>
      <c r="I20" s="3"/>
      <c r="M20" s="3" t="s">
        <v>22</v>
      </c>
      <c r="N20" s="3">
        <v>2.1788128296672284</v>
      </c>
      <c r="O20" s="3"/>
    </row>
    <row r="22" spans="1:15" x14ac:dyDescent="0.3">
      <c r="A22" t="s">
        <v>49</v>
      </c>
      <c r="G22" t="s">
        <v>49</v>
      </c>
      <c r="M22" t="s">
        <v>49</v>
      </c>
    </row>
    <row r="23" spans="1:15" ht="15" thickBot="1" x14ac:dyDescent="0.35"/>
    <row r="24" spans="1:15" x14ac:dyDescent="0.3">
      <c r="A24" s="4"/>
      <c r="B24" s="4" t="s">
        <v>44</v>
      </c>
      <c r="C24" s="4" t="s">
        <v>45</v>
      </c>
      <c r="G24" s="4"/>
      <c r="H24" s="4" t="s">
        <v>44</v>
      </c>
      <c r="I24" s="4" t="s">
        <v>46</v>
      </c>
      <c r="M24" s="4"/>
      <c r="N24" s="4" t="s">
        <v>45</v>
      </c>
      <c r="O24" s="4" t="s">
        <v>46</v>
      </c>
    </row>
    <row r="25" spans="1:15" x14ac:dyDescent="0.3">
      <c r="A25" s="2" t="s">
        <v>12</v>
      </c>
      <c r="B25" s="2">
        <v>1662</v>
      </c>
      <c r="C25" s="2">
        <v>1636.25</v>
      </c>
      <c r="G25" s="2" t="s">
        <v>12</v>
      </c>
      <c r="H25" s="2">
        <v>1662</v>
      </c>
      <c r="I25" s="2">
        <v>1568.3333333333333</v>
      </c>
      <c r="M25" s="2" t="s">
        <v>12</v>
      </c>
      <c r="N25" s="2">
        <v>1636.25</v>
      </c>
      <c r="O25" s="2">
        <v>1568.3333333333333</v>
      </c>
    </row>
    <row r="26" spans="1:15" x14ac:dyDescent="0.3">
      <c r="A26" s="2" t="s">
        <v>13</v>
      </c>
      <c r="B26" s="2">
        <v>4220</v>
      </c>
      <c r="C26" s="2">
        <v>12169.642857142857</v>
      </c>
      <c r="G26" s="2" t="s">
        <v>13</v>
      </c>
      <c r="H26" s="2">
        <v>4220</v>
      </c>
      <c r="I26" s="2">
        <v>4136.666666666667</v>
      </c>
      <c r="M26" s="2" t="s">
        <v>13</v>
      </c>
      <c r="N26" s="2">
        <v>12169.642857142857</v>
      </c>
      <c r="O26" s="2">
        <v>4136.666666666667</v>
      </c>
    </row>
    <row r="27" spans="1:15" x14ac:dyDescent="0.3">
      <c r="A27" s="2" t="s">
        <v>14</v>
      </c>
      <c r="B27" s="2">
        <v>5</v>
      </c>
      <c r="C27" s="2">
        <v>8</v>
      </c>
      <c r="G27" s="2" t="s">
        <v>14</v>
      </c>
      <c r="H27" s="2">
        <v>5</v>
      </c>
      <c r="I27" s="2">
        <v>6</v>
      </c>
      <c r="M27" s="2" t="s">
        <v>14</v>
      </c>
      <c r="N27" s="2">
        <v>8</v>
      </c>
      <c r="O27" s="2">
        <v>6</v>
      </c>
    </row>
    <row r="28" spans="1:15" x14ac:dyDescent="0.3">
      <c r="A28" s="2" t="s">
        <v>16</v>
      </c>
      <c r="B28" s="2">
        <v>0</v>
      </c>
      <c r="C28" s="2"/>
      <c r="G28" s="2" t="s">
        <v>16</v>
      </c>
      <c r="H28" s="2">
        <v>0</v>
      </c>
      <c r="I28" s="2"/>
      <c r="M28" s="2" t="s">
        <v>16</v>
      </c>
      <c r="N28" s="2">
        <v>0</v>
      </c>
      <c r="O28" s="2"/>
    </row>
    <row r="29" spans="1:15" x14ac:dyDescent="0.3">
      <c r="A29" s="2" t="s">
        <v>17</v>
      </c>
      <c r="B29" s="2">
        <v>11</v>
      </c>
      <c r="C29" s="2"/>
      <c r="G29" s="2" t="s">
        <v>17</v>
      </c>
      <c r="H29" s="2">
        <v>9</v>
      </c>
      <c r="I29" s="2"/>
      <c r="M29" s="2" t="s">
        <v>17</v>
      </c>
      <c r="N29" s="2">
        <v>11</v>
      </c>
      <c r="O29" s="2"/>
    </row>
    <row r="30" spans="1:15" x14ac:dyDescent="0.3">
      <c r="A30" s="2" t="s">
        <v>18</v>
      </c>
      <c r="B30" s="2">
        <v>0.52947176600495183</v>
      </c>
      <c r="C30" s="2"/>
      <c r="G30" s="2" t="s">
        <v>18</v>
      </c>
      <c r="H30" s="2">
        <v>2.3919441883575345</v>
      </c>
      <c r="I30" s="2"/>
      <c r="M30" s="2" t="s">
        <v>18</v>
      </c>
      <c r="N30" s="2">
        <v>1.4444961474483702</v>
      </c>
      <c r="O30" s="2"/>
    </row>
    <row r="31" spans="1:15" x14ac:dyDescent="0.3">
      <c r="A31" s="2" t="s">
        <v>19</v>
      </c>
      <c r="B31" s="2">
        <v>0.30349924238726067</v>
      </c>
      <c r="C31" s="2"/>
      <c r="G31" s="2" t="s">
        <v>19</v>
      </c>
      <c r="H31" s="2">
        <v>2.021416417551505E-2</v>
      </c>
      <c r="I31" s="2"/>
      <c r="M31" s="2" t="s">
        <v>19</v>
      </c>
      <c r="N31" s="2">
        <v>8.823728143435644E-2</v>
      </c>
      <c r="O31" s="2"/>
    </row>
    <row r="32" spans="1:15" x14ac:dyDescent="0.3">
      <c r="A32" s="2" t="s">
        <v>20</v>
      </c>
      <c r="B32" s="2">
        <v>1.7958848187040437</v>
      </c>
      <c r="C32" s="2"/>
      <c r="G32" s="2" t="s">
        <v>20</v>
      </c>
      <c r="H32" s="2">
        <v>1.8331129326562374</v>
      </c>
      <c r="I32" s="2"/>
      <c r="M32" s="2" t="s">
        <v>20</v>
      </c>
      <c r="N32" s="2">
        <v>1.7958848187040437</v>
      </c>
      <c r="O32" s="2"/>
    </row>
    <row r="33" spans="1:15" x14ac:dyDescent="0.3">
      <c r="A33" s="2" t="s">
        <v>21</v>
      </c>
      <c r="B33" s="2">
        <v>0.60699848477452134</v>
      </c>
      <c r="C33" s="2"/>
      <c r="G33" s="2" t="s">
        <v>21</v>
      </c>
      <c r="H33" s="2">
        <v>4.04283283510301E-2</v>
      </c>
      <c r="I33" s="2"/>
      <c r="M33" s="2" t="s">
        <v>21</v>
      </c>
      <c r="N33" s="2">
        <v>0.17647456286871288</v>
      </c>
      <c r="O33" s="2"/>
    </row>
    <row r="34" spans="1:15" ht="15" thickBot="1" x14ac:dyDescent="0.35">
      <c r="A34" s="3" t="s">
        <v>22</v>
      </c>
      <c r="B34" s="3">
        <v>2.2009851600916384</v>
      </c>
      <c r="C34" s="3"/>
      <c r="G34" s="3" t="s">
        <v>22</v>
      </c>
      <c r="H34" s="3">
        <v>2.2621571627982053</v>
      </c>
      <c r="I34" s="3"/>
      <c r="M34" s="3" t="s">
        <v>22</v>
      </c>
      <c r="N34" s="3">
        <v>2.2009851600916384</v>
      </c>
      <c r="O34" s="3"/>
    </row>
  </sheetData>
  <mergeCells count="1">
    <mergeCell ref="B1:I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Пинчук</dc:creator>
  <cp:lastModifiedBy>Николай Пинчук</cp:lastModifiedBy>
  <dcterms:created xsi:type="dcterms:W3CDTF">2025-12-17T08:52:25Z</dcterms:created>
  <dcterms:modified xsi:type="dcterms:W3CDTF">2025-12-18T09:53:14Z</dcterms:modified>
</cp:coreProperties>
</file>