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D16" i="1" l="1"/>
  <c r="C14" i="1" l="1"/>
  <c r="C13" i="1"/>
  <c r="C8" i="1"/>
  <c r="C7" i="1"/>
  <c r="B16" i="1"/>
  <c r="H33" i="1"/>
  <c r="H32" i="1"/>
  <c r="H31" i="1"/>
  <c r="H30" i="1"/>
  <c r="H29" i="1"/>
  <c r="H28" i="1"/>
  <c r="H27" i="1"/>
  <c r="G28" i="1"/>
  <c r="G29" i="1"/>
  <c r="G30" i="1"/>
  <c r="G31" i="1"/>
  <c r="G32" i="1"/>
  <c r="G33" i="1"/>
  <c r="G27" i="1"/>
  <c r="E28" i="1"/>
  <c r="E29" i="1"/>
  <c r="E30" i="1"/>
  <c r="E31" i="1"/>
  <c r="E32" i="1"/>
  <c r="E33" i="1"/>
  <c r="E27" i="1"/>
  <c r="D28" i="1"/>
  <c r="D29" i="1"/>
  <c r="D30" i="1"/>
  <c r="D31" i="1"/>
  <c r="D32" i="1"/>
  <c r="D33" i="1"/>
  <c r="D27" i="1"/>
  <c r="B28" i="1"/>
  <c r="B29" i="1"/>
  <c r="B30" i="1"/>
  <c r="B31" i="1"/>
  <c r="B32" i="1"/>
  <c r="B33" i="1"/>
  <c r="B27" i="1"/>
  <c r="A28" i="1"/>
  <c r="A29" i="1"/>
  <c r="A30" i="1"/>
  <c r="A31" i="1"/>
  <c r="A32" i="1"/>
  <c r="A33" i="1"/>
  <c r="A27" i="1"/>
  <c r="D22" i="1" l="1" a="1"/>
  <c r="D22" i="1" s="1"/>
  <c r="A22" i="1" a="1"/>
  <c r="A22" i="1" s="1"/>
  <c r="A19" i="1"/>
  <c r="D20" i="1"/>
  <c r="D19" i="1"/>
  <c r="B20" i="1"/>
  <c r="A20" i="1"/>
  <c r="B19" i="1"/>
  <c r="F16" i="1"/>
  <c r="D23" i="1" l="1"/>
  <c r="B23" i="1"/>
  <c r="A23" i="1"/>
  <c r="B22" i="1"/>
  <c r="E14" i="1" l="1"/>
  <c r="D14" i="1"/>
  <c r="B14" i="1"/>
  <c r="A14" i="1"/>
  <c r="E8" i="1"/>
  <c r="E9" i="1"/>
  <c r="E10" i="1"/>
  <c r="E11" i="1"/>
  <c r="E12" i="1"/>
  <c r="E13" i="1"/>
  <c r="E7" i="1"/>
  <c r="D8" i="1"/>
  <c r="D9" i="1"/>
  <c r="D10" i="1"/>
  <c r="D11" i="1"/>
  <c r="D12" i="1"/>
  <c r="D13" i="1"/>
  <c r="D7" i="1"/>
  <c r="C9" i="1"/>
  <c r="C10" i="1"/>
  <c r="C11" i="1"/>
  <c r="C12" i="1"/>
  <c r="B13" i="1"/>
  <c r="B12" i="1"/>
  <c r="A13" i="1"/>
  <c r="A12" i="1"/>
  <c r="B11" i="1"/>
  <c r="B10" i="1"/>
  <c r="B9" i="1"/>
  <c r="B8" i="1"/>
  <c r="B7" i="1"/>
  <c r="A11" i="1"/>
  <c r="A10" i="1"/>
  <c r="A9" i="1"/>
  <c r="A8" i="1"/>
  <c r="A7" i="1"/>
</calcChain>
</file>

<file path=xl/sharedStrings.xml><?xml version="1.0" encoding="utf-8"?>
<sst xmlns="http://schemas.openxmlformats.org/spreadsheetml/2006/main" count="25" uniqueCount="24">
  <si>
    <t>С_р.а., %</t>
  </si>
  <si>
    <t>Тз, град С</t>
  </si>
  <si>
    <t>xi</t>
  </si>
  <si>
    <t>yi</t>
  </si>
  <si>
    <t>xi*yi</t>
  </si>
  <si>
    <t>xi^2</t>
  </si>
  <si>
    <t>yi^2</t>
  </si>
  <si>
    <t>n=</t>
  </si>
  <si>
    <t>r=</t>
  </si>
  <si>
    <t>Критейрий стьюдента</t>
  </si>
  <si>
    <t>Квантиль распределения</t>
  </si>
  <si>
    <t>tрасчт=</t>
  </si>
  <si>
    <t>tтабл=</t>
  </si>
  <si>
    <t>Система нормальных уравнений</t>
  </si>
  <si>
    <t>b0=</t>
  </si>
  <si>
    <t>b1=</t>
  </si>
  <si>
    <t>Для в)</t>
  </si>
  <si>
    <t>Для д)</t>
  </si>
  <si>
    <t>Для ж)</t>
  </si>
  <si>
    <t>X = 1/x</t>
  </si>
  <si>
    <t>Y</t>
  </si>
  <si>
    <t>X</t>
  </si>
  <si>
    <t>Y = ln|y|</t>
  </si>
  <si>
    <t>Y = 1/y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</si>
</sst>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Корреляционное поле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9.2352362204724411E-2"/>
                  <c:y val="-0.39114574219889181"/>
                </c:manualLayout>
              </c:layout>
              <c:numFmt formatCode="General" sourceLinked="0"/>
            </c:trendlineLbl>
          </c:trendline>
          <c:xVal>
            <c:numRef>
              <c:f>Лист1!$A$7:$A$13</c:f>
              <c:numCache>
                <c:formatCode>General</c:formatCode>
                <c:ptCount val="7"/>
                <c:pt idx="0">
                  <c:v>16</c:v>
                </c:pt>
                <c:pt idx="1">
                  <c:v>23</c:v>
                </c:pt>
                <c:pt idx="2">
                  <c:v>26</c:v>
                </c:pt>
                <c:pt idx="3">
                  <c:v>28</c:v>
                </c:pt>
                <c:pt idx="4">
                  <c:v>30</c:v>
                </c:pt>
                <c:pt idx="5">
                  <c:v>36</c:v>
                </c:pt>
                <c:pt idx="6">
                  <c:v>40</c:v>
                </c:pt>
              </c:numCache>
            </c:numRef>
          </c:xVal>
          <c:yVal>
            <c:numRef>
              <c:f>Лист1!$B$7:$B$13</c:f>
              <c:numCache>
                <c:formatCode>General</c:formatCode>
                <c:ptCount val="7"/>
                <c:pt idx="0">
                  <c:v>-0.35</c:v>
                </c:pt>
                <c:pt idx="1">
                  <c:v>-0.56999999999999995</c:v>
                </c:pt>
                <c:pt idx="2">
                  <c:v>-0.61</c:v>
                </c:pt>
                <c:pt idx="3">
                  <c:v>-0.69</c:v>
                </c:pt>
                <c:pt idx="4">
                  <c:v>-0.75</c:v>
                </c:pt>
                <c:pt idx="5">
                  <c:v>-0.81</c:v>
                </c:pt>
                <c:pt idx="6">
                  <c:v>-0.94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29472"/>
        <c:axId val="119531008"/>
      </c:scatterChart>
      <c:valAx>
        <c:axId val="11952947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19531008"/>
        <c:crosses val="autoZero"/>
        <c:crossBetween val="midCat"/>
      </c:valAx>
      <c:valAx>
        <c:axId val="11953100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195294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в)</a:t>
            </a:r>
            <a:r>
              <a:rPr lang="ru-RU" baseline="0"/>
              <a:t> Линейная зависимость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Лист1!$A$27:$A$32</c:f>
              <c:numCache>
                <c:formatCode>General</c:formatCode>
                <c:ptCount val="6"/>
                <c:pt idx="0">
                  <c:v>6.25E-2</c:v>
                </c:pt>
                <c:pt idx="1">
                  <c:v>4.3478260869565216E-2</c:v>
                </c:pt>
                <c:pt idx="2">
                  <c:v>3.8461538461538464E-2</c:v>
                </c:pt>
                <c:pt idx="3">
                  <c:v>3.5714285714285712E-2</c:v>
                </c:pt>
                <c:pt idx="4">
                  <c:v>3.3333333333333333E-2</c:v>
                </c:pt>
                <c:pt idx="5">
                  <c:v>2.7777777777777776E-2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</c:ser>
        <c:ser>
          <c:idx val="1"/>
          <c:order val="1"/>
          <c:spPr>
            <a:ln w="28575">
              <a:noFill/>
            </a:ln>
          </c:spPr>
          <c:trendline>
            <c:trendlineType val="linear"/>
            <c:dispRSqr val="0"/>
            <c:dispEq val="0"/>
          </c:trendline>
          <c:trendline>
            <c:trendlineType val="linear"/>
            <c:dispRSqr val="0"/>
            <c:dispEq val="0"/>
          </c:trendline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1"/>
            <c:trendlineLbl>
              <c:layout>
                <c:manualLayout>
                  <c:x val="-0.16661824357516808"/>
                  <c:y val="-0.20579250510352873"/>
                </c:manualLayout>
              </c:layout>
              <c:numFmt formatCode="General" sourceLinked="0"/>
            </c:trendlineLbl>
          </c:trendline>
          <c:xVal>
            <c:numRef>
              <c:f>Лист1!$A$27:$A$33</c:f>
              <c:numCache>
                <c:formatCode>General</c:formatCode>
                <c:ptCount val="7"/>
                <c:pt idx="0">
                  <c:v>6.25E-2</c:v>
                </c:pt>
                <c:pt idx="1">
                  <c:v>4.3478260869565216E-2</c:v>
                </c:pt>
                <c:pt idx="2">
                  <c:v>3.8461538461538464E-2</c:v>
                </c:pt>
                <c:pt idx="3">
                  <c:v>3.5714285714285712E-2</c:v>
                </c:pt>
                <c:pt idx="4">
                  <c:v>3.3333333333333333E-2</c:v>
                </c:pt>
                <c:pt idx="5">
                  <c:v>2.7777777777777776E-2</c:v>
                </c:pt>
                <c:pt idx="6">
                  <c:v>2.5000000000000001E-2</c:v>
                </c:pt>
              </c:numCache>
            </c:numRef>
          </c:xVal>
          <c:yVal>
            <c:numRef>
              <c:f>Лист1!$B$27:$B$32</c:f>
              <c:numCache>
                <c:formatCode>General</c:formatCode>
                <c:ptCount val="6"/>
                <c:pt idx="0">
                  <c:v>-0.35</c:v>
                </c:pt>
                <c:pt idx="1">
                  <c:v>-0.56999999999999995</c:v>
                </c:pt>
                <c:pt idx="2">
                  <c:v>-0.61</c:v>
                </c:pt>
                <c:pt idx="3">
                  <c:v>-0.69</c:v>
                </c:pt>
                <c:pt idx="4">
                  <c:v>-0.75</c:v>
                </c:pt>
                <c:pt idx="5">
                  <c:v>-0.81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61536"/>
        <c:axId val="119363072"/>
      </c:scatterChart>
      <c:valAx>
        <c:axId val="11936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363072"/>
        <c:crosses val="autoZero"/>
        <c:crossBetween val="midCat"/>
      </c:valAx>
      <c:valAx>
        <c:axId val="11936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361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г) Логарифмическая</a:t>
            </a:r>
            <a:r>
              <a:rPr lang="ru-RU" baseline="0"/>
              <a:t> зависимость</a:t>
            </a:r>
            <a:endParaRPr lang="ru-RU"/>
          </a:p>
        </c:rich>
      </c:tx>
      <c:layout>
        <c:manualLayout>
          <c:xMode val="edge"/>
          <c:yMode val="edge"/>
          <c:x val="0.21552083333333333"/>
          <c:y val="2.807017543859649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og"/>
            <c:dispRSqr val="1"/>
            <c:dispEq val="1"/>
            <c:trendlineLbl>
              <c:layout>
                <c:manualLayout>
                  <c:x val="-0.28375765529308838"/>
                  <c:y val="0.11290832345508982"/>
                </c:manualLayout>
              </c:layout>
              <c:numFmt formatCode="General" sourceLinked="0"/>
            </c:trendlineLbl>
          </c:trendline>
          <c:xVal>
            <c:numRef>
              <c:f>Лист1!$D$27:$D$33</c:f>
              <c:numCache>
                <c:formatCode>General</c:formatCode>
                <c:ptCount val="7"/>
                <c:pt idx="0">
                  <c:v>16</c:v>
                </c:pt>
                <c:pt idx="1">
                  <c:v>23</c:v>
                </c:pt>
                <c:pt idx="2">
                  <c:v>26</c:v>
                </c:pt>
                <c:pt idx="3">
                  <c:v>28</c:v>
                </c:pt>
                <c:pt idx="4">
                  <c:v>30</c:v>
                </c:pt>
                <c:pt idx="5">
                  <c:v>36</c:v>
                </c:pt>
                <c:pt idx="6">
                  <c:v>40</c:v>
                </c:pt>
              </c:numCache>
            </c:numRef>
          </c:xVal>
          <c:yVal>
            <c:numRef>
              <c:f>Лист1!$E$27:$E$33</c:f>
              <c:numCache>
                <c:formatCode>General</c:formatCode>
                <c:ptCount val="7"/>
                <c:pt idx="0">
                  <c:v>-1.0498221244986778</c:v>
                </c:pt>
                <c:pt idx="1">
                  <c:v>-0.56211891815354131</c:v>
                </c:pt>
                <c:pt idx="2">
                  <c:v>-0.49429632181478012</c:v>
                </c:pt>
                <c:pt idx="3">
                  <c:v>-0.37106368139083207</c:v>
                </c:pt>
                <c:pt idx="4">
                  <c:v>-0.2876820724517809</c:v>
                </c:pt>
                <c:pt idx="5">
                  <c:v>-0.21072103131565253</c:v>
                </c:pt>
                <c:pt idx="6">
                  <c:v>-6.1875403718087529E-2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83936"/>
        <c:axId val="119385472"/>
      </c:scatterChart>
      <c:valAx>
        <c:axId val="119383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385472"/>
        <c:crosses val="autoZero"/>
        <c:crossBetween val="midCat"/>
      </c:valAx>
      <c:valAx>
        <c:axId val="11938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383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ж) Квадратичная зависимость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-0.28235476815398075"/>
                  <c:y val="5.6304215459885704E-3"/>
                </c:manualLayout>
              </c:layout>
              <c:numFmt formatCode="General" sourceLinked="0"/>
            </c:trendlineLbl>
          </c:trendline>
          <c:xVal>
            <c:numRef>
              <c:f>Лист1!$G$27:$G$33</c:f>
              <c:numCache>
                <c:formatCode>General</c:formatCode>
                <c:ptCount val="7"/>
                <c:pt idx="0">
                  <c:v>16</c:v>
                </c:pt>
                <c:pt idx="1">
                  <c:v>23</c:v>
                </c:pt>
                <c:pt idx="2">
                  <c:v>26</c:v>
                </c:pt>
                <c:pt idx="3">
                  <c:v>28</c:v>
                </c:pt>
                <c:pt idx="4">
                  <c:v>30</c:v>
                </c:pt>
                <c:pt idx="5">
                  <c:v>36</c:v>
                </c:pt>
                <c:pt idx="6">
                  <c:v>40</c:v>
                </c:pt>
              </c:numCache>
            </c:numRef>
          </c:xVal>
          <c:yVal>
            <c:numRef>
              <c:f>Лист1!$H$27:$H$33</c:f>
              <c:numCache>
                <c:formatCode>General</c:formatCode>
                <c:ptCount val="7"/>
                <c:pt idx="0">
                  <c:v>-2.8571428571428572</c:v>
                </c:pt>
                <c:pt idx="1">
                  <c:v>-1.7543859649122808</c:v>
                </c:pt>
                <c:pt idx="2">
                  <c:v>-1.639344262295082</c:v>
                </c:pt>
                <c:pt idx="3">
                  <c:v>-1.4492753623188408</c:v>
                </c:pt>
                <c:pt idx="4">
                  <c:v>-1.3333333333333333</c:v>
                </c:pt>
                <c:pt idx="5">
                  <c:v>-1.2345679012345678</c:v>
                </c:pt>
                <c:pt idx="6">
                  <c:v>-1.0638297872340425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08128"/>
        <c:axId val="119409664"/>
      </c:scatterChart>
      <c:valAx>
        <c:axId val="11940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09664"/>
        <c:crosses val="autoZero"/>
        <c:crossBetween val="midCat"/>
      </c:valAx>
      <c:valAx>
        <c:axId val="11940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08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388620</xdr:colOff>
      <xdr:row>1</xdr:row>
      <xdr:rowOff>156210</xdr:rowOff>
    </xdr:from>
    <xdr:to>
      <xdr:col>16</xdr:col>
      <xdr:colOff>83820</xdr:colOff>
      <xdr:row>16</xdr:row>
      <xdr:rowOff>156210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327660</xdr:colOff>
      <xdr:row>5</xdr:row>
      <xdr:rowOff>175260</xdr:rowOff>
    </xdr:from>
    <xdr:to>
      <xdr:col>7</xdr:col>
      <xdr:colOff>569076</xdr:colOff>
      <xdr:row>9</xdr:row>
      <xdr:rowOff>96371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81400" y="1089660"/>
          <a:ext cx="1742556" cy="652631"/>
        </a:xfrm>
        <a:prstGeom prst="rect">
          <a:avLst/>
        </a:prstGeom>
      </xdr:spPr>
    </xdr:pic>
    <xdr:clientData/>
  </xdr:twoCellAnchor>
  <xdr:twoCellAnchor editAs="oneCell">
    <xdr:from>
      <xdr:col>5</xdr:col>
      <xdr:colOff>502920</xdr:colOff>
      <xdr:row>9</xdr:row>
      <xdr:rowOff>50654</xdr:rowOff>
    </xdr:from>
    <xdr:to>
      <xdr:col>7</xdr:col>
      <xdr:colOff>434340</xdr:colOff>
      <xdr:row>13</xdr:row>
      <xdr:rowOff>65873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56660" y="1696574"/>
          <a:ext cx="1432560" cy="746739"/>
        </a:xfrm>
        <a:prstGeom prst="rect">
          <a:avLst/>
        </a:prstGeom>
      </xdr:spPr>
    </xdr:pic>
    <xdr:clientData/>
  </xdr:twoCellAnchor>
  <xdr:twoCellAnchor>
    <xdr:from>
      <xdr:col>9</xdr:col>
      <xdr:colOff>167640</xdr:colOff>
      <xdr:row>20</xdr:row>
      <xdr:rowOff>68580</xdr:rowOff>
    </xdr:from>
    <xdr:to>
      <xdr:col>16</xdr:col>
      <xdr:colOff>175260</xdr:colOff>
      <xdr:row>35</xdr:row>
      <xdr:rowOff>68580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358140</xdr:colOff>
      <xdr:row>34</xdr:row>
      <xdr:rowOff>7620</xdr:rowOff>
    </xdr:from>
    <xdr:to>
      <xdr:col>8</xdr:col>
      <xdr:colOff>175260</xdr:colOff>
      <xdr:row>48</xdr:row>
      <xdr:rowOff>136712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182880</xdr:colOff>
      <xdr:row>36</xdr:row>
      <xdr:rowOff>7620</xdr:rowOff>
    </xdr:from>
    <xdr:to>
      <xdr:col>16</xdr:col>
      <xdr:colOff>487680</xdr:colOff>
      <xdr:row>50</xdr:row>
      <xdr:rowOff>145677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3"/>
  <sheetViews>
    <sheetView tabSelected="1" workbookViewId="0">
      <selection activeCell="G16" sqref="G16"/>
    </sheetView>
  </sheetViews>
  <sheetFormatPr defaultRowHeight="14.4" x14ac:dyDescent="0.3"/>
  <cols>
    <col min="3" max="3" width="11.88671875" customWidth="1"/>
    <col min="6" max="6" width="13" customWidth="1"/>
  </cols>
  <sheetData>
    <row r="3" spans="1:8" x14ac:dyDescent="0.3">
      <c r="A3" t="s">
        <v>0</v>
      </c>
      <c r="B3">
        <v>16</v>
      </c>
      <c r="C3">
        <v>23</v>
      </c>
      <c r="D3">
        <v>26</v>
      </c>
      <c r="E3">
        <v>28</v>
      </c>
      <c r="F3">
        <v>30</v>
      </c>
      <c r="G3">
        <v>36</v>
      </c>
      <c r="H3">
        <v>40</v>
      </c>
    </row>
    <row r="4" spans="1:8" x14ac:dyDescent="0.3">
      <c r="A4" t="s">
        <v>1</v>
      </c>
      <c r="B4">
        <v>-0.35</v>
      </c>
      <c r="C4">
        <v>-0.56999999999999995</v>
      </c>
      <c r="D4">
        <v>-0.61</v>
      </c>
      <c r="E4">
        <v>-0.69</v>
      </c>
      <c r="F4">
        <v>-0.75</v>
      </c>
      <c r="G4">
        <v>-0.81</v>
      </c>
      <c r="H4">
        <v>-0.94</v>
      </c>
    </row>
    <row r="6" spans="1:8" x14ac:dyDescent="0.3">
      <c r="A6" t="s">
        <v>2</v>
      </c>
      <c r="B6" t="s">
        <v>3</v>
      </c>
      <c r="C6" t="s">
        <v>4</v>
      </c>
      <c r="D6" t="s">
        <v>5</v>
      </c>
      <c r="E6" t="s">
        <v>6</v>
      </c>
    </row>
    <row r="7" spans="1:8" x14ac:dyDescent="0.3">
      <c r="A7">
        <f>B3</f>
        <v>16</v>
      </c>
      <c r="B7">
        <f>B4</f>
        <v>-0.35</v>
      </c>
      <c r="C7">
        <f>A7*B7</f>
        <v>-5.6</v>
      </c>
      <c r="D7">
        <f>A7*A7</f>
        <v>256</v>
      </c>
      <c r="E7">
        <f>B7*B7</f>
        <v>0.12249999999999998</v>
      </c>
    </row>
    <row r="8" spans="1:8" x14ac:dyDescent="0.3">
      <c r="A8">
        <f>C3</f>
        <v>23</v>
      </c>
      <c r="B8">
        <f>C4</f>
        <v>-0.56999999999999995</v>
      </c>
      <c r="C8">
        <f>A8*B8</f>
        <v>-13.11</v>
      </c>
      <c r="D8">
        <f t="shared" ref="D8:D13" si="0">A8*A8</f>
        <v>529</v>
      </c>
      <c r="E8">
        <f t="shared" ref="E8:E13" si="1">B8*B8</f>
        <v>0.32489999999999997</v>
      </c>
    </row>
    <row r="9" spans="1:8" x14ac:dyDescent="0.3">
      <c r="A9">
        <f>D3</f>
        <v>26</v>
      </c>
      <c r="B9">
        <f>D4</f>
        <v>-0.61</v>
      </c>
      <c r="C9">
        <f t="shared" ref="C9:C12" si="2">A9*B9</f>
        <v>-15.86</v>
      </c>
      <c r="D9">
        <f t="shared" si="0"/>
        <v>676</v>
      </c>
      <c r="E9">
        <f t="shared" si="1"/>
        <v>0.37209999999999999</v>
      </c>
    </row>
    <row r="10" spans="1:8" x14ac:dyDescent="0.3">
      <c r="A10">
        <f>E3</f>
        <v>28</v>
      </c>
      <c r="B10">
        <f>E4</f>
        <v>-0.69</v>
      </c>
      <c r="C10">
        <f t="shared" si="2"/>
        <v>-19.32</v>
      </c>
      <c r="D10">
        <f t="shared" si="0"/>
        <v>784</v>
      </c>
      <c r="E10">
        <f t="shared" si="1"/>
        <v>0.47609999999999991</v>
      </c>
    </row>
    <row r="11" spans="1:8" x14ac:dyDescent="0.3">
      <c r="A11">
        <f>F3</f>
        <v>30</v>
      </c>
      <c r="B11">
        <f>F4</f>
        <v>-0.75</v>
      </c>
      <c r="C11">
        <f t="shared" si="2"/>
        <v>-22.5</v>
      </c>
      <c r="D11">
        <f t="shared" si="0"/>
        <v>900</v>
      </c>
      <c r="E11">
        <f t="shared" si="1"/>
        <v>0.5625</v>
      </c>
    </row>
    <row r="12" spans="1:8" x14ac:dyDescent="0.3">
      <c r="A12">
        <f>G3</f>
        <v>36</v>
      </c>
      <c r="B12">
        <f>G4</f>
        <v>-0.81</v>
      </c>
      <c r="C12">
        <f t="shared" si="2"/>
        <v>-29.160000000000004</v>
      </c>
      <c r="D12">
        <f t="shared" si="0"/>
        <v>1296</v>
      </c>
      <c r="E12">
        <f t="shared" si="1"/>
        <v>0.65610000000000013</v>
      </c>
    </row>
    <row r="13" spans="1:8" x14ac:dyDescent="0.3">
      <c r="A13">
        <f>H3</f>
        <v>40</v>
      </c>
      <c r="B13">
        <f>H4</f>
        <v>-0.94</v>
      </c>
      <c r="C13">
        <f>A13*B13</f>
        <v>-37.599999999999994</v>
      </c>
      <c r="D13">
        <f t="shared" si="0"/>
        <v>1600</v>
      </c>
      <c r="E13">
        <f t="shared" si="1"/>
        <v>0.88359999999999994</v>
      </c>
    </row>
    <row r="14" spans="1:8" x14ac:dyDescent="0.3">
      <c r="A14">
        <f>SUM(A7:A13)</f>
        <v>199</v>
      </c>
      <c r="B14">
        <f>SUM(B7:B13)</f>
        <v>-4.72</v>
      </c>
      <c r="C14">
        <f>SUM(C7:C13)</f>
        <v>-143.15</v>
      </c>
      <c r="D14">
        <f>SUM(D7:D13)</f>
        <v>6041</v>
      </c>
      <c r="E14">
        <f>SUM(E7:E13)</f>
        <v>3.3977999999999997</v>
      </c>
    </row>
    <row r="15" spans="1:8" x14ac:dyDescent="0.3">
      <c r="A15" t="s">
        <v>7</v>
      </c>
      <c r="B15">
        <v>7</v>
      </c>
      <c r="C15" s="1" t="s">
        <v>9</v>
      </c>
      <c r="D15" s="1"/>
      <c r="E15" s="1" t="s">
        <v>10</v>
      </c>
      <c r="F15" s="1"/>
    </row>
    <row r="16" spans="1:8" x14ac:dyDescent="0.3">
      <c r="A16" t="s">
        <v>8</v>
      </c>
      <c r="B16">
        <f>CORREL(A7:A13,B7:B13)</f>
        <v>-0.98686512776392155</v>
      </c>
      <c r="C16" t="s">
        <v>11</v>
      </c>
      <c r="D16">
        <f>ABS(B16)*SQRT((B15-2)/(1-B16*B16))</f>
        <v>13.659842282339053</v>
      </c>
      <c r="E16" t="s">
        <v>12</v>
      </c>
      <c r="F16">
        <f>_xlfn.T.INV.2T(0.05,B15-2)</f>
        <v>2.570581835636315</v>
      </c>
    </row>
    <row r="18" spans="1:8" x14ac:dyDescent="0.3">
      <c r="A18" s="1" t="s">
        <v>13</v>
      </c>
      <c r="B18" s="1"/>
      <c r="C18" s="1"/>
      <c r="D18" s="1"/>
    </row>
    <row r="19" spans="1:8" x14ac:dyDescent="0.3">
      <c r="A19">
        <f>B15</f>
        <v>7</v>
      </c>
      <c r="B19">
        <f>A14</f>
        <v>199</v>
      </c>
      <c r="D19">
        <f>B14</f>
        <v>-4.72</v>
      </c>
    </row>
    <row r="20" spans="1:8" x14ac:dyDescent="0.3">
      <c r="A20">
        <f>A14</f>
        <v>199</v>
      </c>
      <c r="B20">
        <f>D14</f>
        <v>6041</v>
      </c>
      <c r="D20">
        <f>C14</f>
        <v>-143.15</v>
      </c>
    </row>
    <row r="22" spans="1:8" x14ac:dyDescent="0.3">
      <c r="A22">
        <f t="array" ref="A22:B23">MINVERSE(A19:B20)</f>
        <v>2.2490692479523466</v>
      </c>
      <c r="B22">
        <v>-7.4087862993298614E-2</v>
      </c>
      <c r="C22" t="s">
        <v>14</v>
      </c>
      <c r="D22">
        <f t="array" ref="D22:D23">MMULT(A22:B23,D19:D20)</f>
        <v>-9.929262844377007E-3</v>
      </c>
    </row>
    <row r="23" spans="1:8" x14ac:dyDescent="0.3">
      <c r="A23">
        <v>-7.4087862993298614E-2</v>
      </c>
      <c r="B23">
        <v>2.6061057334326146E-3</v>
      </c>
      <c r="C23" t="s">
        <v>15</v>
      </c>
      <c r="D23">
        <v>-2.3369322412509386E-2</v>
      </c>
    </row>
    <row r="25" spans="1:8" x14ac:dyDescent="0.3">
      <c r="A25" t="s">
        <v>16</v>
      </c>
      <c r="D25" t="s">
        <v>17</v>
      </c>
      <c r="G25" t="s">
        <v>18</v>
      </c>
    </row>
    <row r="26" spans="1:8" x14ac:dyDescent="0.3">
      <c r="A26" t="s">
        <v>19</v>
      </c>
      <c r="B26" t="s">
        <v>20</v>
      </c>
      <c r="D26" t="s">
        <v>21</v>
      </c>
      <c r="E26" t="s">
        <v>22</v>
      </c>
      <c r="G26" t="s">
        <v>21</v>
      </c>
      <c r="H26" t="s">
        <v>23</v>
      </c>
    </row>
    <row r="27" spans="1:8" x14ac:dyDescent="0.3">
      <c r="A27">
        <f>1/A7</f>
        <v>6.25E-2</v>
      </c>
      <c r="B27">
        <f>B7</f>
        <v>-0.35</v>
      </c>
      <c r="D27">
        <f>A7</f>
        <v>16</v>
      </c>
      <c r="E27">
        <f>LN(ABS(B7))</f>
        <v>-1.0498221244986778</v>
      </c>
      <c r="G27">
        <f>A7</f>
        <v>16</v>
      </c>
      <c r="H27">
        <f>1/B7</f>
        <v>-2.8571428571428572</v>
      </c>
    </row>
    <row r="28" spans="1:8" x14ac:dyDescent="0.3">
      <c r="A28">
        <f t="shared" ref="A28:A33" si="3">1/A8</f>
        <v>4.3478260869565216E-2</v>
      </c>
      <c r="B28">
        <f t="shared" ref="B28:B33" si="4">B8</f>
        <v>-0.56999999999999995</v>
      </c>
      <c r="D28">
        <f t="shared" ref="D28:D33" si="5">A8</f>
        <v>23</v>
      </c>
      <c r="E28">
        <f t="shared" ref="E28:E33" si="6">LN(ABS(B8))</f>
        <v>-0.56211891815354131</v>
      </c>
      <c r="G28">
        <f t="shared" ref="G28:G33" si="7">A8</f>
        <v>23</v>
      </c>
      <c r="H28">
        <f t="shared" ref="H28:H33" si="8">1/B8</f>
        <v>-1.7543859649122808</v>
      </c>
    </row>
    <row r="29" spans="1:8" x14ac:dyDescent="0.3">
      <c r="A29">
        <f t="shared" si="3"/>
        <v>3.8461538461538464E-2</v>
      </c>
      <c r="B29">
        <f t="shared" si="4"/>
        <v>-0.61</v>
      </c>
      <c r="D29">
        <f t="shared" si="5"/>
        <v>26</v>
      </c>
      <c r="E29">
        <f t="shared" si="6"/>
        <v>-0.49429632181478012</v>
      </c>
      <c r="G29">
        <f t="shared" si="7"/>
        <v>26</v>
      </c>
      <c r="H29">
        <f t="shared" si="8"/>
        <v>-1.639344262295082</v>
      </c>
    </row>
    <row r="30" spans="1:8" x14ac:dyDescent="0.3">
      <c r="A30">
        <f t="shared" si="3"/>
        <v>3.5714285714285712E-2</v>
      </c>
      <c r="B30">
        <f t="shared" si="4"/>
        <v>-0.69</v>
      </c>
      <c r="D30">
        <f t="shared" si="5"/>
        <v>28</v>
      </c>
      <c r="E30">
        <f t="shared" si="6"/>
        <v>-0.37106368139083207</v>
      </c>
      <c r="G30">
        <f t="shared" si="7"/>
        <v>28</v>
      </c>
      <c r="H30">
        <f t="shared" si="8"/>
        <v>-1.4492753623188408</v>
      </c>
    </row>
    <row r="31" spans="1:8" x14ac:dyDescent="0.3">
      <c r="A31">
        <f t="shared" si="3"/>
        <v>3.3333333333333333E-2</v>
      </c>
      <c r="B31">
        <f t="shared" si="4"/>
        <v>-0.75</v>
      </c>
      <c r="D31">
        <f t="shared" si="5"/>
        <v>30</v>
      </c>
      <c r="E31">
        <f t="shared" si="6"/>
        <v>-0.2876820724517809</v>
      </c>
      <c r="G31">
        <f t="shared" si="7"/>
        <v>30</v>
      </c>
      <c r="H31">
        <f t="shared" si="8"/>
        <v>-1.3333333333333333</v>
      </c>
    </row>
    <row r="32" spans="1:8" x14ac:dyDescent="0.3">
      <c r="A32">
        <f t="shared" si="3"/>
        <v>2.7777777777777776E-2</v>
      </c>
      <c r="B32">
        <f t="shared" si="4"/>
        <v>-0.81</v>
      </c>
      <c r="D32">
        <f t="shared" si="5"/>
        <v>36</v>
      </c>
      <c r="E32">
        <f t="shared" si="6"/>
        <v>-0.21072103131565253</v>
      </c>
      <c r="G32">
        <f t="shared" si="7"/>
        <v>36</v>
      </c>
      <c r="H32">
        <f t="shared" si="8"/>
        <v>-1.2345679012345678</v>
      </c>
    </row>
    <row r="33" spans="1:8" x14ac:dyDescent="0.3">
      <c r="A33">
        <f t="shared" si="3"/>
        <v>2.5000000000000001E-2</v>
      </c>
      <c r="B33">
        <f t="shared" si="4"/>
        <v>-0.94</v>
      </c>
      <c r="D33">
        <f t="shared" si="5"/>
        <v>40</v>
      </c>
      <c r="E33">
        <f t="shared" si="6"/>
        <v>-6.1875403718087529E-2</v>
      </c>
      <c r="G33">
        <f t="shared" si="7"/>
        <v>40</v>
      </c>
      <c r="H33">
        <f t="shared" si="8"/>
        <v>-1.0638297872340425</v>
      </c>
    </row>
  </sheetData>
  <mergeCells count="3">
    <mergeCell ref="C15:D15"/>
    <mergeCell ref="E15:F15"/>
    <mergeCell ref="A18:D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Пинчук</dc:creator>
  <cp:lastModifiedBy>Николай Пинчук</cp:lastModifiedBy>
  <dcterms:created xsi:type="dcterms:W3CDTF">2025-12-03T18:26:03Z</dcterms:created>
  <dcterms:modified xsi:type="dcterms:W3CDTF">2025-12-17T10:01:12Z</dcterms:modified>
</cp:coreProperties>
</file>