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Лист1" sheetId="1" r:id="rId1"/>
  </sheets>
  <calcPr calcId="145621"/>
</workbook>
</file>

<file path=xl/calcChain.xml><?xml version="1.0" encoding="utf-8"?>
<calcChain xmlns="http://schemas.openxmlformats.org/spreadsheetml/2006/main">
  <c r="H18" i="1" l="1"/>
  <c r="H16" i="1"/>
  <c r="C30" i="1" l="1"/>
  <c r="C31" i="1"/>
  <c r="C32" i="1"/>
  <c r="C33" i="1"/>
  <c r="C34" i="1"/>
  <c r="C29" i="1"/>
  <c r="C35" i="1"/>
  <c r="C28" i="1"/>
  <c r="D28" i="1" l="1"/>
  <c r="F28" i="1" s="1"/>
  <c r="G28" i="1" s="1"/>
  <c r="D29" i="1"/>
  <c r="E29" i="1" s="1"/>
  <c r="D30" i="1"/>
  <c r="D31" i="1"/>
  <c r="E31" i="1" s="1"/>
  <c r="D32" i="1"/>
  <c r="E32" i="1" s="1"/>
  <c r="D33" i="1"/>
  <c r="E33" i="1" s="1"/>
  <c r="D34" i="1"/>
  <c r="E34" i="1" s="1"/>
  <c r="A29" i="1"/>
  <c r="A30" i="1"/>
  <c r="A31" i="1"/>
  <c r="A32" i="1"/>
  <c r="A33" i="1"/>
  <c r="A34" i="1"/>
  <c r="E30" i="1"/>
  <c r="I30" i="1" s="1"/>
  <c r="B28" i="1"/>
  <c r="B29" i="1"/>
  <c r="B30" i="1"/>
  <c r="B31" i="1"/>
  <c r="B32" i="1"/>
  <c r="B33" i="1"/>
  <c r="E28" i="1" l="1"/>
  <c r="I28" i="1" s="1"/>
  <c r="F29" i="1"/>
  <c r="G29" i="1" s="1"/>
  <c r="H29" i="1" s="1"/>
  <c r="I29" i="1"/>
  <c r="F30" i="1"/>
  <c r="G30" i="1" s="1"/>
  <c r="H30" i="1" s="1"/>
  <c r="F31" i="1"/>
  <c r="G31" i="1" s="1"/>
  <c r="H31" i="1" s="1"/>
  <c r="I31" i="1"/>
  <c r="F32" i="1"/>
  <c r="G32" i="1" s="1"/>
  <c r="H32" i="1" s="1"/>
  <c r="I32" i="1"/>
  <c r="I33" i="1"/>
  <c r="F33" i="1"/>
  <c r="G33" i="1" s="1"/>
  <c r="H33" i="1" s="1"/>
  <c r="I34" i="1"/>
  <c r="F34" i="1"/>
  <c r="G34" i="1" s="1"/>
  <c r="H34" i="1" s="1"/>
  <c r="D35" i="1"/>
  <c r="E36" i="1"/>
  <c r="H36" i="1" s="1"/>
  <c r="E35" i="1" l="1"/>
  <c r="I35" i="1"/>
  <c r="H35" i="1" s="1"/>
  <c r="H28" i="1"/>
  <c r="B42" i="1" l="1"/>
  <c r="B43" i="1" s="1"/>
  <c r="B44" i="1" s="1"/>
  <c r="B45" i="1" s="1"/>
  <c r="B46" i="1" s="1"/>
  <c r="B47" i="1" s="1"/>
  <c r="B41" i="1"/>
  <c r="B40" i="1"/>
  <c r="A47" i="1"/>
  <c r="A46" i="1"/>
  <c r="A45" i="1"/>
  <c r="A44" i="1"/>
  <c r="A43" i="1"/>
  <c r="A42" i="1"/>
  <c r="A41" i="1"/>
  <c r="A40" i="1"/>
  <c r="H19" i="1" l="1"/>
  <c r="H20" i="1" s="1"/>
  <c r="D13" i="1"/>
  <c r="P3" i="1"/>
  <c r="A16" i="1" l="1"/>
  <c r="P4" i="1"/>
  <c r="D12" i="1"/>
  <c r="B12" i="1"/>
  <c r="B16" i="1" l="1"/>
  <c r="D16" i="1" s="1"/>
  <c r="A17" i="1"/>
  <c r="B17" i="1" l="1"/>
  <c r="C17" i="1" s="1"/>
  <c r="A18" i="1"/>
  <c r="C16" i="1"/>
  <c r="D17" i="1" l="1"/>
  <c r="A19" i="1"/>
  <c r="B18" i="1"/>
  <c r="C18" i="1" s="1"/>
  <c r="D18" i="1" l="1"/>
  <c r="A20" i="1"/>
  <c r="B19" i="1"/>
  <c r="C19" i="1" s="1"/>
  <c r="D19" i="1"/>
  <c r="A21" i="1" l="1"/>
  <c r="B20" i="1"/>
  <c r="C20" i="1"/>
  <c r="D20" i="1"/>
  <c r="B21" i="1" l="1"/>
  <c r="A22" i="1"/>
  <c r="C21" i="1"/>
  <c r="D21" i="1"/>
  <c r="B22" i="1" l="1"/>
  <c r="D22" i="1" s="1"/>
  <c r="C22" i="1"/>
  <c r="A23" i="1"/>
  <c r="B23" i="1" l="1"/>
  <c r="D23" i="1" s="1"/>
  <c r="C23" i="1"/>
  <c r="D24" i="1" l="1"/>
  <c r="E16" i="1" l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</calcChain>
</file>

<file path=xl/sharedStrings.xml><?xml version="1.0" encoding="utf-8"?>
<sst xmlns="http://schemas.openxmlformats.org/spreadsheetml/2006/main" count="37" uniqueCount="32">
  <si>
    <t>Исходные данные</t>
  </si>
  <si>
    <t>min=</t>
  </si>
  <si>
    <t>max=</t>
  </si>
  <si>
    <t>Объём выборки n = 100</t>
  </si>
  <si>
    <t xml:space="preserve">Размах выборки W = </t>
  </si>
  <si>
    <t xml:space="preserve">Кол-во интервалов по формуле </t>
  </si>
  <si>
    <t>Длина интервалов h =</t>
  </si>
  <si>
    <t>Интервальный статистический ряд</t>
  </si>
  <si>
    <t>[xi;</t>
  </si>
  <si>
    <t>xi+1)</t>
  </si>
  <si>
    <t>xi*</t>
  </si>
  <si>
    <t>ni</t>
  </si>
  <si>
    <t>ni/n</t>
  </si>
  <si>
    <t>ni/n/h"</t>
  </si>
  <si>
    <t>Выборочное среднее</t>
  </si>
  <si>
    <t>x-ср =</t>
  </si>
  <si>
    <t>Выборочная диссперсия</t>
  </si>
  <si>
    <t>Dв =</t>
  </si>
  <si>
    <t>s2=</t>
  </si>
  <si>
    <t>s=</t>
  </si>
  <si>
    <t>Проверка гипотезы о законе распределения Пирсона</t>
  </si>
  <si>
    <t>pi</t>
  </si>
  <si>
    <t>n*pi</t>
  </si>
  <si>
    <t>ni-npi</t>
  </si>
  <si>
    <t>(ni-npi)^2</t>
  </si>
  <si>
    <t>ni^2/npi</t>
  </si>
  <si>
    <t>Эмпирическая функция распределения</t>
  </si>
  <si>
    <t>СУММ</t>
  </si>
  <si>
    <t>(ni-npi)^2/npi</t>
  </si>
  <si>
    <t>k-r-1=</t>
  </si>
  <si>
    <t>χ2расч</t>
  </si>
  <si>
    <t>χ2крит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</si>
</sst>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Fill="1" applyBorder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  <a:r>
              <a:rPr lang="ru-RU" baseline="0"/>
              <a:t> относительных частот</a:t>
            </a:r>
            <a:endParaRPr lang="ru-RU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Лист1!$C$16:$C$23</c:f>
              <c:numCache>
                <c:formatCode>General</c:formatCode>
                <c:ptCount val="8"/>
                <c:pt idx="0">
                  <c:v>11.5</c:v>
                </c:pt>
                <c:pt idx="1">
                  <c:v>16.5</c:v>
                </c:pt>
                <c:pt idx="2">
                  <c:v>21.5</c:v>
                </c:pt>
                <c:pt idx="3">
                  <c:v>26.5</c:v>
                </c:pt>
                <c:pt idx="4">
                  <c:v>31.5</c:v>
                </c:pt>
                <c:pt idx="5">
                  <c:v>36.5</c:v>
                </c:pt>
                <c:pt idx="6">
                  <c:v>41.5</c:v>
                </c:pt>
                <c:pt idx="7">
                  <c:v>46.5</c:v>
                </c:pt>
              </c:numCache>
            </c:numRef>
          </c:cat>
          <c:val>
            <c:numRef>
              <c:f>Лист1!$F$16:$F$23</c:f>
              <c:numCache>
                <c:formatCode>General</c:formatCode>
                <c:ptCount val="8"/>
                <c:pt idx="0">
                  <c:v>2E-3</c:v>
                </c:pt>
                <c:pt idx="1">
                  <c:v>1.2E-2</c:v>
                </c:pt>
                <c:pt idx="2">
                  <c:v>3.2000000000000001E-2</c:v>
                </c:pt>
                <c:pt idx="3">
                  <c:v>3.2000000000000001E-2</c:v>
                </c:pt>
                <c:pt idx="4">
                  <c:v>0.06</c:v>
                </c:pt>
                <c:pt idx="5">
                  <c:v>3.6000000000000004E-2</c:v>
                </c:pt>
                <c:pt idx="6">
                  <c:v>1.4E-2</c:v>
                </c:pt>
                <c:pt idx="7">
                  <c:v>1.2E-2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55264"/>
        <c:axId val="24157568"/>
      </c:barChart>
      <c:catAx>
        <c:axId val="2415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xi*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4157568"/>
        <c:crosses val="autoZero"/>
        <c:auto val="1"/>
        <c:lblAlgn val="ctr"/>
        <c:lblOffset val="100"/>
        <c:noMultiLvlLbl val="0"/>
      </c:catAx>
      <c:valAx>
        <c:axId val="24157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ni/n/h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155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281940</xdr:colOff>
      <xdr:row>9</xdr:row>
      <xdr:rowOff>0</xdr:rowOff>
    </xdr:from>
    <xdr:to>
      <xdr:col>19</xdr:col>
      <xdr:colOff>76200</xdr:colOff>
      <xdr:row>24</xdr:row>
      <xdr:rowOff>3810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topLeftCell="A14" workbookViewId="0">
      <selection activeCell="J35" sqref="J35"/>
    </sheetView>
  </sheetViews>
  <sheetFormatPr defaultRowHeight="14.4" x14ac:dyDescent="0.3"/>
  <cols>
    <col min="1" max="1" width="9.109375" bestFit="1" customWidth="1"/>
    <col min="8" max="8" width="14.6640625" customWidth="1"/>
    <col min="12" max="12" width="7.44140625" customWidth="1"/>
  </cols>
  <sheetData>
    <row r="1" spans="1:17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7" x14ac:dyDescent="0.3">
      <c r="A2">
        <v>29</v>
      </c>
      <c r="B2">
        <v>30</v>
      </c>
      <c r="C2">
        <v>47</v>
      </c>
      <c r="D2">
        <v>49</v>
      </c>
      <c r="E2">
        <v>41</v>
      </c>
      <c r="F2">
        <v>34</v>
      </c>
      <c r="G2">
        <v>40</v>
      </c>
      <c r="H2">
        <v>31</v>
      </c>
      <c r="I2">
        <v>26</v>
      </c>
      <c r="J2">
        <v>31</v>
      </c>
      <c r="M2" s="6" t="s">
        <v>3</v>
      </c>
      <c r="N2" s="6"/>
      <c r="O2" s="6"/>
      <c r="P2" s="6"/>
      <c r="Q2" s="6"/>
    </row>
    <row r="3" spans="1:17" x14ac:dyDescent="0.3">
      <c r="A3">
        <v>34</v>
      </c>
      <c r="B3">
        <v>37</v>
      </c>
      <c r="C3">
        <v>15</v>
      </c>
      <c r="D3">
        <v>25</v>
      </c>
      <c r="E3">
        <v>41</v>
      </c>
      <c r="F3">
        <v>22</v>
      </c>
      <c r="G3">
        <v>30</v>
      </c>
      <c r="H3">
        <v>33</v>
      </c>
      <c r="I3">
        <v>19</v>
      </c>
      <c r="J3">
        <v>32</v>
      </c>
      <c r="M3" s="6" t="s">
        <v>5</v>
      </c>
      <c r="N3" s="6"/>
      <c r="O3" s="6"/>
      <c r="P3" s="1">
        <f>ROUND(1+LOG(100,2),0)</f>
        <v>8</v>
      </c>
      <c r="Q3" s="1"/>
    </row>
    <row r="4" spans="1:17" x14ac:dyDescent="0.3">
      <c r="A4">
        <v>25</v>
      </c>
      <c r="B4">
        <v>39</v>
      </c>
      <c r="C4">
        <v>36</v>
      </c>
      <c r="D4">
        <v>25</v>
      </c>
      <c r="E4">
        <v>30</v>
      </c>
      <c r="F4">
        <v>34</v>
      </c>
      <c r="G4">
        <v>19</v>
      </c>
      <c r="H4">
        <v>38</v>
      </c>
      <c r="I4">
        <v>23</v>
      </c>
      <c r="J4">
        <v>40</v>
      </c>
      <c r="M4" s="6" t="s">
        <v>4</v>
      </c>
      <c r="N4" s="6"/>
      <c r="O4" s="6"/>
      <c r="P4" s="1">
        <f>D12-B12</f>
        <v>40</v>
      </c>
      <c r="Q4" s="1"/>
    </row>
    <row r="5" spans="1:17" x14ac:dyDescent="0.3">
      <c r="A5">
        <v>31</v>
      </c>
      <c r="B5">
        <v>49</v>
      </c>
      <c r="C5">
        <v>30</v>
      </c>
      <c r="D5">
        <v>24</v>
      </c>
      <c r="E5">
        <v>37</v>
      </c>
      <c r="F5">
        <v>34</v>
      </c>
      <c r="G5">
        <v>33</v>
      </c>
      <c r="H5">
        <v>30</v>
      </c>
      <c r="I5">
        <v>22</v>
      </c>
      <c r="J5">
        <v>43</v>
      </c>
      <c r="M5" s="6"/>
      <c r="N5" s="6"/>
      <c r="O5" s="6"/>
      <c r="P5" s="1"/>
      <c r="Q5" s="1"/>
    </row>
    <row r="6" spans="1:17" x14ac:dyDescent="0.3">
      <c r="A6">
        <v>24</v>
      </c>
      <c r="B6">
        <v>18</v>
      </c>
      <c r="C6">
        <v>9</v>
      </c>
      <c r="D6">
        <v>44</v>
      </c>
      <c r="E6">
        <v>20</v>
      </c>
      <c r="F6">
        <v>18</v>
      </c>
      <c r="G6">
        <v>33</v>
      </c>
      <c r="H6">
        <v>36</v>
      </c>
      <c r="I6">
        <v>36</v>
      </c>
      <c r="J6">
        <v>31</v>
      </c>
    </row>
    <row r="7" spans="1:17" x14ac:dyDescent="0.3">
      <c r="A7">
        <v>46</v>
      </c>
      <c r="B7">
        <v>28</v>
      </c>
      <c r="C7">
        <v>35</v>
      </c>
      <c r="D7">
        <v>30</v>
      </c>
      <c r="E7">
        <v>15</v>
      </c>
      <c r="F7">
        <v>27</v>
      </c>
      <c r="G7">
        <v>29</v>
      </c>
      <c r="H7">
        <v>22</v>
      </c>
      <c r="I7">
        <v>27</v>
      </c>
      <c r="J7">
        <v>31</v>
      </c>
    </row>
    <row r="8" spans="1:17" x14ac:dyDescent="0.3">
      <c r="A8">
        <v>31</v>
      </c>
      <c r="B8">
        <v>21</v>
      </c>
      <c r="C8">
        <v>21</v>
      </c>
      <c r="D8">
        <v>35</v>
      </c>
      <c r="E8">
        <v>32</v>
      </c>
      <c r="F8">
        <v>17</v>
      </c>
      <c r="G8">
        <v>24</v>
      </c>
      <c r="H8">
        <v>32</v>
      </c>
      <c r="I8">
        <v>23</v>
      </c>
      <c r="J8">
        <v>32</v>
      </c>
    </row>
    <row r="9" spans="1:17" x14ac:dyDescent="0.3">
      <c r="A9">
        <v>27</v>
      </c>
      <c r="B9">
        <v>19</v>
      </c>
      <c r="C9">
        <v>29</v>
      </c>
      <c r="D9">
        <v>29</v>
      </c>
      <c r="E9">
        <v>29</v>
      </c>
      <c r="F9">
        <v>37</v>
      </c>
      <c r="G9">
        <v>30</v>
      </c>
      <c r="H9">
        <v>29</v>
      </c>
      <c r="I9">
        <v>30</v>
      </c>
      <c r="J9">
        <v>35</v>
      </c>
    </row>
    <row r="10" spans="1:17" x14ac:dyDescent="0.3">
      <c r="A10">
        <v>21</v>
      </c>
      <c r="B10">
        <v>23</v>
      </c>
      <c r="C10">
        <v>28</v>
      </c>
      <c r="D10">
        <v>34</v>
      </c>
      <c r="E10">
        <v>17</v>
      </c>
      <c r="F10">
        <v>41</v>
      </c>
      <c r="G10">
        <v>28</v>
      </c>
      <c r="H10">
        <v>24</v>
      </c>
      <c r="I10">
        <v>47</v>
      </c>
      <c r="J10">
        <v>28</v>
      </c>
    </row>
    <row r="11" spans="1:17" x14ac:dyDescent="0.3">
      <c r="A11">
        <v>36</v>
      </c>
      <c r="B11">
        <v>28</v>
      </c>
      <c r="C11">
        <v>38</v>
      </c>
      <c r="D11">
        <v>22</v>
      </c>
      <c r="E11">
        <v>32</v>
      </c>
      <c r="F11">
        <v>33</v>
      </c>
      <c r="G11">
        <v>23</v>
      </c>
      <c r="H11">
        <v>36</v>
      </c>
      <c r="I11">
        <v>31</v>
      </c>
      <c r="J11">
        <v>21</v>
      </c>
    </row>
    <row r="12" spans="1:17" x14ac:dyDescent="0.3">
      <c r="A12" t="s">
        <v>1</v>
      </c>
      <c r="B12">
        <f>MIN(A2:J11)</f>
        <v>9</v>
      </c>
      <c r="C12" t="s">
        <v>2</v>
      </c>
      <c r="D12">
        <f>MAX(A2:J11)</f>
        <v>49</v>
      </c>
    </row>
    <row r="13" spans="1:17" x14ac:dyDescent="0.3">
      <c r="A13" s="6" t="s">
        <v>6</v>
      </c>
      <c r="B13" s="6"/>
      <c r="C13" s="6"/>
      <c r="D13" s="1">
        <f>CEILING(P4/P3,0.1)</f>
        <v>5</v>
      </c>
      <c r="E13" s="1"/>
    </row>
    <row r="14" spans="1:17" x14ac:dyDescent="0.3">
      <c r="A14" s="8" t="s">
        <v>7</v>
      </c>
      <c r="B14" s="8"/>
      <c r="C14" s="8"/>
      <c r="D14" s="8"/>
      <c r="E14" s="8"/>
      <c r="F14" s="8"/>
    </row>
    <row r="15" spans="1:17" x14ac:dyDescent="0.3">
      <c r="A15" s="3" t="s">
        <v>8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13</v>
      </c>
      <c r="G15" s="7" t="s">
        <v>14</v>
      </c>
      <c r="H15" s="6"/>
      <c r="I15" s="6"/>
    </row>
    <row r="16" spans="1:17" x14ac:dyDescent="0.3">
      <c r="A16" s="3">
        <f>B12</f>
        <v>9</v>
      </c>
      <c r="B16" s="3">
        <f t="shared" ref="B16:B23" si="0">A16+$D$13</f>
        <v>14</v>
      </c>
      <c r="C16" s="3">
        <f>(A16+B16)/2</f>
        <v>11.5</v>
      </c>
      <c r="D16" s="3">
        <f>COUNTIFS($A$2:$J$11,"&gt;="&amp;A16,$A$2:$J$11,"&lt;"&amp;B16)</f>
        <v>1</v>
      </c>
      <c r="E16" s="3">
        <f>D16/$D$24</f>
        <v>0.01</v>
      </c>
      <c r="F16" s="3">
        <f>CEILING(E16/$D$13,0.001)</f>
        <v>2E-3</v>
      </c>
      <c r="G16" t="s">
        <v>15</v>
      </c>
      <c r="H16">
        <f>SUMPRODUCT(C16:C23,D16:D23)/100</f>
        <v>30.5</v>
      </c>
    </row>
    <row r="17" spans="1:9" x14ac:dyDescent="0.3">
      <c r="A17" s="3">
        <f t="shared" ref="A17:A23" si="1">A16+$D$13</f>
        <v>14</v>
      </c>
      <c r="B17" s="3">
        <f t="shared" si="0"/>
        <v>19</v>
      </c>
      <c r="C17" s="3">
        <f t="shared" ref="C17:C23" si="2">(A17+B17)/2</f>
        <v>16.5</v>
      </c>
      <c r="D17" s="3">
        <f t="shared" ref="D17:D22" si="3">COUNTIFS($A$2:$J$11,"&gt;="&amp;A17,$A$2:$J$11,"&lt;"&amp;B17)</f>
        <v>6</v>
      </c>
      <c r="E17" s="3">
        <f t="shared" ref="E17:E23" si="4">D17/$D$24</f>
        <v>0.06</v>
      </c>
      <c r="F17" s="3">
        <f t="shared" ref="F17:F23" si="5">CEILING(E17/$D$13,0.001)</f>
        <v>1.2E-2</v>
      </c>
      <c r="G17" s="7" t="s">
        <v>16</v>
      </c>
      <c r="H17" s="6"/>
      <c r="I17" s="6"/>
    </row>
    <row r="18" spans="1:9" x14ac:dyDescent="0.3">
      <c r="A18" s="3">
        <f t="shared" si="1"/>
        <v>19</v>
      </c>
      <c r="B18" s="3">
        <f t="shared" si="0"/>
        <v>24</v>
      </c>
      <c r="C18" s="3">
        <f t="shared" si="2"/>
        <v>21.5</v>
      </c>
      <c r="D18" s="3">
        <f>COUNTIFS($A$2:$J$11,"&gt;="&amp;A18,$A$2:$J$11,"&lt;"&amp;B18)</f>
        <v>16</v>
      </c>
      <c r="E18" s="3">
        <f t="shared" si="4"/>
        <v>0.16</v>
      </c>
      <c r="F18" s="3">
        <f t="shared" si="5"/>
        <v>3.2000000000000001E-2</v>
      </c>
      <c r="G18" t="s">
        <v>17</v>
      </c>
      <c r="H18">
        <f>SUMPRODUCT(C16:C23,C16:C23,D16:D23)/100-H16*H16</f>
        <v>61.5</v>
      </c>
    </row>
    <row r="19" spans="1:9" x14ac:dyDescent="0.3">
      <c r="A19" s="3">
        <f t="shared" si="1"/>
        <v>24</v>
      </c>
      <c r="B19" s="3">
        <f t="shared" si="0"/>
        <v>29</v>
      </c>
      <c r="C19" s="3">
        <f t="shared" si="2"/>
        <v>26.5</v>
      </c>
      <c r="D19" s="3">
        <f t="shared" si="3"/>
        <v>16</v>
      </c>
      <c r="E19" s="3">
        <f t="shared" si="4"/>
        <v>0.16</v>
      </c>
      <c r="F19" s="3">
        <f t="shared" si="5"/>
        <v>3.2000000000000001E-2</v>
      </c>
      <c r="G19" t="s">
        <v>18</v>
      </c>
      <c r="H19">
        <f>H18*100/99</f>
        <v>62.121212121212125</v>
      </c>
    </row>
    <row r="20" spans="1:9" x14ac:dyDescent="0.3">
      <c r="A20" s="3">
        <f t="shared" si="1"/>
        <v>29</v>
      </c>
      <c r="B20" s="3">
        <f t="shared" si="0"/>
        <v>34</v>
      </c>
      <c r="C20" s="3">
        <f t="shared" si="2"/>
        <v>31.5</v>
      </c>
      <c r="D20" s="3">
        <f t="shared" si="3"/>
        <v>30</v>
      </c>
      <c r="E20" s="3">
        <f t="shared" si="4"/>
        <v>0.3</v>
      </c>
      <c r="F20" s="3">
        <f t="shared" si="5"/>
        <v>0.06</v>
      </c>
      <c r="G20" t="s">
        <v>19</v>
      </c>
      <c r="H20">
        <f>SQRT(H19)</f>
        <v>7.8817010931151232</v>
      </c>
    </row>
    <row r="21" spans="1:9" x14ac:dyDescent="0.3">
      <c r="A21" s="3">
        <f t="shared" si="1"/>
        <v>34</v>
      </c>
      <c r="B21" s="3">
        <f t="shared" si="0"/>
        <v>39</v>
      </c>
      <c r="C21" s="3">
        <f t="shared" si="2"/>
        <v>36.5</v>
      </c>
      <c r="D21" s="3">
        <f t="shared" si="3"/>
        <v>18</v>
      </c>
      <c r="E21" s="3">
        <f t="shared" si="4"/>
        <v>0.18</v>
      </c>
      <c r="F21" s="3">
        <f t="shared" si="5"/>
        <v>3.6000000000000004E-2</v>
      </c>
    </row>
    <row r="22" spans="1:9" x14ac:dyDescent="0.3">
      <c r="A22" s="3">
        <f t="shared" si="1"/>
        <v>39</v>
      </c>
      <c r="B22" s="3">
        <f t="shared" si="0"/>
        <v>44</v>
      </c>
      <c r="C22" s="3">
        <f t="shared" si="2"/>
        <v>41.5</v>
      </c>
      <c r="D22" s="3">
        <f t="shared" si="3"/>
        <v>7</v>
      </c>
      <c r="E22" s="3">
        <f t="shared" si="4"/>
        <v>7.0000000000000007E-2</v>
      </c>
      <c r="F22" s="3">
        <f t="shared" si="5"/>
        <v>1.4E-2</v>
      </c>
    </row>
    <row r="23" spans="1:9" x14ac:dyDescent="0.3">
      <c r="A23" s="3">
        <f t="shared" si="1"/>
        <v>44</v>
      </c>
      <c r="B23" s="3">
        <f t="shared" si="0"/>
        <v>49</v>
      </c>
      <c r="C23" s="3">
        <f t="shared" si="2"/>
        <v>46.5</v>
      </c>
      <c r="D23" s="3">
        <f>COUNTIFS($A$2:$J$11,"&gt;="&amp;A23,$A$2:$J$11,"&lt;="&amp;B23)</f>
        <v>6</v>
      </c>
      <c r="E23" s="3">
        <f t="shared" si="4"/>
        <v>0.06</v>
      </c>
      <c r="F23" s="3">
        <f t="shared" si="5"/>
        <v>1.2E-2</v>
      </c>
    </row>
    <row r="24" spans="1:9" x14ac:dyDescent="0.3">
      <c r="D24" s="4">
        <f>SUM(D16:D23)</f>
        <v>100</v>
      </c>
    </row>
    <row r="26" spans="1:9" x14ac:dyDescent="0.3">
      <c r="A26" s="6" t="s">
        <v>20</v>
      </c>
      <c r="B26" s="6"/>
      <c r="C26" s="6"/>
      <c r="D26" s="6"/>
      <c r="E26" s="6"/>
      <c r="F26" s="6"/>
    </row>
    <row r="27" spans="1:9" x14ac:dyDescent="0.3">
      <c r="A27" s="2" t="s">
        <v>8</v>
      </c>
      <c r="B27" s="2" t="s">
        <v>9</v>
      </c>
      <c r="C27" s="2" t="s">
        <v>11</v>
      </c>
      <c r="D27" s="2" t="s">
        <v>21</v>
      </c>
      <c r="E27" s="2" t="s">
        <v>22</v>
      </c>
      <c r="F27" s="2" t="s">
        <v>23</v>
      </c>
      <c r="G27" s="2" t="s">
        <v>24</v>
      </c>
      <c r="H27" s="2" t="s">
        <v>28</v>
      </c>
      <c r="I27" s="2" t="s">
        <v>25</v>
      </c>
    </row>
    <row r="28" spans="1:9" x14ac:dyDescent="0.3">
      <c r="A28" s="5">
        <v>-1.0000000000000001E+50</v>
      </c>
      <c r="B28">
        <f>B17</f>
        <v>19</v>
      </c>
      <c r="C28">
        <f>D16+6</f>
        <v>7</v>
      </c>
      <c r="D28">
        <f>_xlfn.NORM.DIST(B28,$H$16,$H$20,TRUE)-_xlfn.NORM.DIST(A28,$H$16,$H$20,TRUE)</f>
        <v>7.2272111299195224E-2</v>
      </c>
      <c r="E28">
        <f>$C$35*D28</f>
        <v>7.2272111299195227</v>
      </c>
      <c r="F28">
        <f>C28-$C$35*D28</f>
        <v>-0.22721112991952275</v>
      </c>
      <c r="G28">
        <f>POWER(F28,2)</f>
        <v>5.1624897559306243E-2</v>
      </c>
      <c r="H28">
        <f>G28/E28</f>
        <v>7.1431284670219813E-3</v>
      </c>
      <c r="I28">
        <f>C28*C28/E28</f>
        <v>6.7799319985474993</v>
      </c>
    </row>
    <row r="29" spans="1:9" x14ac:dyDescent="0.3">
      <c r="A29">
        <f t="shared" ref="A29:B34" si="6">A18</f>
        <v>19</v>
      </c>
      <c r="B29">
        <f t="shared" si="6"/>
        <v>24</v>
      </c>
      <c r="C29">
        <f>D18</f>
        <v>16</v>
      </c>
      <c r="D29">
        <f t="shared" ref="D29:D33" si="7">_xlfn.NORM.DIST(B29,$H$16,$H$20,TRUE)-_xlfn.NORM.DIST(A29,$H$16,$H$20,TRUE)</f>
        <v>0.13250025561382359</v>
      </c>
      <c r="E29">
        <f t="shared" ref="E29:E34" si="8">$C$35*D29</f>
        <v>13.250025561382358</v>
      </c>
      <c r="F29">
        <f t="shared" ref="F29:F33" si="9">C29-E29</f>
        <v>2.7499744386176417</v>
      </c>
      <c r="G29">
        <f t="shared" ref="G29:G34" si="10">POWER(F29,2)</f>
        <v>7.5623594130504133</v>
      </c>
      <c r="H29">
        <f t="shared" ref="H29:H34" si="11">G29/E29</f>
        <v>0.57074300559020519</v>
      </c>
      <c r="I29">
        <f t="shared" ref="I29:I33" si="12">C29*C29/E29</f>
        <v>19.320717444207848</v>
      </c>
    </row>
    <row r="30" spans="1:9" x14ac:dyDescent="0.3">
      <c r="A30">
        <f t="shared" si="6"/>
        <v>24</v>
      </c>
      <c r="B30">
        <f t="shared" si="6"/>
        <v>29</v>
      </c>
      <c r="C30">
        <f t="shared" ref="C30:C34" si="13">D19</f>
        <v>16</v>
      </c>
      <c r="D30">
        <f t="shared" si="7"/>
        <v>0.2197590786070337</v>
      </c>
      <c r="E30">
        <f t="shared" si="8"/>
        <v>21.975907860703369</v>
      </c>
      <c r="F30">
        <f t="shared" si="9"/>
        <v>-5.9759078607033693</v>
      </c>
      <c r="G30">
        <f t="shared" si="10"/>
        <v>35.711474759616323</v>
      </c>
      <c r="H30">
        <f t="shared" si="11"/>
        <v>1.62502841684527</v>
      </c>
      <c r="I30">
        <f t="shared" si="12"/>
        <v>11.6491205561419</v>
      </c>
    </row>
    <row r="31" spans="1:9" x14ac:dyDescent="0.3">
      <c r="A31">
        <f t="shared" si="6"/>
        <v>29</v>
      </c>
      <c r="B31">
        <f t="shared" si="6"/>
        <v>34</v>
      </c>
      <c r="C31">
        <f t="shared" si="13"/>
        <v>30</v>
      </c>
      <c r="D31">
        <f t="shared" si="7"/>
        <v>0.24697132827087143</v>
      </c>
      <c r="E31">
        <f t="shared" si="8"/>
        <v>24.697132827087142</v>
      </c>
      <c r="F31">
        <f t="shared" si="9"/>
        <v>5.3028671729128583</v>
      </c>
      <c r="G31">
        <f t="shared" si="10"/>
        <v>28.120400253556809</v>
      </c>
      <c r="H31">
        <f t="shared" si="11"/>
        <v>1.1386099127553431</v>
      </c>
      <c r="I31">
        <f t="shared" si="12"/>
        <v>36.441477085668204</v>
      </c>
    </row>
    <row r="32" spans="1:9" x14ac:dyDescent="0.3">
      <c r="A32">
        <f t="shared" si="6"/>
        <v>34</v>
      </c>
      <c r="B32">
        <f t="shared" si="6"/>
        <v>39</v>
      </c>
      <c r="C32">
        <f t="shared" si="13"/>
        <v>18</v>
      </c>
      <c r="D32">
        <f t="shared" si="7"/>
        <v>0.18808015298994496</v>
      </c>
      <c r="E32">
        <f t="shared" si="8"/>
        <v>18.808015298994498</v>
      </c>
      <c r="F32">
        <f t="shared" si="9"/>
        <v>-0.80801529899449775</v>
      </c>
      <c r="G32">
        <f t="shared" si="10"/>
        <v>0.65288872340916759</v>
      </c>
      <c r="H32">
        <f t="shared" si="11"/>
        <v>3.4713323709603318E-2</v>
      </c>
      <c r="I32">
        <f t="shared" si="12"/>
        <v>17.226698024715105</v>
      </c>
    </row>
    <row r="33" spans="1:9" x14ac:dyDescent="0.3">
      <c r="A33">
        <f t="shared" si="6"/>
        <v>39</v>
      </c>
      <c r="B33">
        <f t="shared" si="6"/>
        <v>44</v>
      </c>
      <c r="C33">
        <f t="shared" si="13"/>
        <v>7</v>
      </c>
      <c r="D33">
        <f t="shared" si="7"/>
        <v>9.7044999179139224E-2</v>
      </c>
      <c r="E33">
        <f t="shared" si="8"/>
        <v>9.7044999179139229</v>
      </c>
      <c r="F33">
        <f t="shared" si="9"/>
        <v>-2.7044999179139229</v>
      </c>
      <c r="G33">
        <f t="shared" si="10"/>
        <v>7.3143198059964156</v>
      </c>
      <c r="H33">
        <f t="shared" si="11"/>
        <v>0.75370393815910297</v>
      </c>
      <c r="I33">
        <f t="shared" si="12"/>
        <v>5.0492040202451802</v>
      </c>
    </row>
    <row r="34" spans="1:9" x14ac:dyDescent="0.3">
      <c r="A34">
        <f t="shared" si="6"/>
        <v>44</v>
      </c>
      <c r="B34" s="5">
        <v>1.0000000000000001E+50</v>
      </c>
      <c r="C34">
        <f t="shared" si="13"/>
        <v>6</v>
      </c>
      <c r="D34">
        <f>1-_xlfn.NORM.DIST(A34,$H$16,$H$20,TRUE)</f>
        <v>4.3372074039991881E-2</v>
      </c>
      <c r="E34">
        <f t="shared" si="8"/>
        <v>4.3372074039991881</v>
      </c>
      <c r="F34">
        <f>C34-E34</f>
        <v>1.6627925960008119</v>
      </c>
      <c r="G34">
        <f t="shared" si="10"/>
        <v>2.7648792173151193</v>
      </c>
      <c r="H34">
        <f t="shared" si="11"/>
        <v>0.63747913340868145</v>
      </c>
      <c r="I34">
        <f>C34*C34/E34</f>
        <v>8.3002717294094932</v>
      </c>
    </row>
    <row r="35" spans="1:9" x14ac:dyDescent="0.3">
      <c r="A35" t="s">
        <v>27</v>
      </c>
      <c r="C35">
        <f>SUM(C28:C34)</f>
        <v>100</v>
      </c>
      <c r="D35">
        <f>SUM(D28:D34)</f>
        <v>1</v>
      </c>
      <c r="E35">
        <f>SUM(E28:E34)</f>
        <v>100.00000000000001</v>
      </c>
      <c r="G35" t="s">
        <v>30</v>
      </c>
      <c r="H35">
        <f>I35-100</f>
        <v>4.7674208589352247</v>
      </c>
      <c r="I35">
        <f>SUM(I28:I34)</f>
        <v>104.76742085893522</v>
      </c>
    </row>
    <row r="36" spans="1:9" x14ac:dyDescent="0.3">
      <c r="D36" t="s">
        <v>29</v>
      </c>
      <c r="E36">
        <f>COUNT(A28:A34)-2-1</f>
        <v>4</v>
      </c>
      <c r="G36" t="s">
        <v>31</v>
      </c>
      <c r="H36">
        <f>_xlfn.CHISQ.INV.RT(0.05,E36)</f>
        <v>9.4877290367811575</v>
      </c>
    </row>
    <row r="38" spans="1:9" x14ac:dyDescent="0.3">
      <c r="A38" s="6" t="s">
        <v>26</v>
      </c>
      <c r="B38" s="6"/>
      <c r="C38" s="6"/>
      <c r="D38" s="6"/>
      <c r="E38" s="6"/>
      <c r="F38" s="6"/>
    </row>
    <row r="39" spans="1:9" x14ac:dyDescent="0.3">
      <c r="A39" s="3" t="s">
        <v>10</v>
      </c>
      <c r="B39" t="s">
        <v>12</v>
      </c>
    </row>
    <row r="40" spans="1:9" x14ac:dyDescent="0.3">
      <c r="A40" s="3">
        <f t="shared" ref="A40:A47" si="14">C16</f>
        <v>11.5</v>
      </c>
      <c r="B40">
        <f>E16</f>
        <v>0.01</v>
      </c>
    </row>
    <row r="41" spans="1:9" x14ac:dyDescent="0.3">
      <c r="A41" s="3">
        <f t="shared" si="14"/>
        <v>16.5</v>
      </c>
      <c r="B41">
        <f>B40+E17</f>
        <v>6.9999999999999993E-2</v>
      </c>
    </row>
    <row r="42" spans="1:9" x14ac:dyDescent="0.3">
      <c r="A42" s="3">
        <f t="shared" si="14"/>
        <v>21.5</v>
      </c>
      <c r="B42">
        <f t="shared" ref="B42:B47" si="15">B41+E18</f>
        <v>0.22999999999999998</v>
      </c>
    </row>
    <row r="43" spans="1:9" x14ac:dyDescent="0.3">
      <c r="A43" s="3">
        <f t="shared" si="14"/>
        <v>26.5</v>
      </c>
      <c r="B43">
        <f t="shared" si="15"/>
        <v>0.39</v>
      </c>
    </row>
    <row r="44" spans="1:9" x14ac:dyDescent="0.3">
      <c r="A44" s="3">
        <f t="shared" si="14"/>
        <v>31.5</v>
      </c>
      <c r="B44">
        <f t="shared" si="15"/>
        <v>0.69</v>
      </c>
    </row>
    <row r="45" spans="1:9" x14ac:dyDescent="0.3">
      <c r="A45" s="3">
        <f t="shared" si="14"/>
        <v>36.5</v>
      </c>
      <c r="B45">
        <f t="shared" si="15"/>
        <v>0.86999999999999988</v>
      </c>
    </row>
    <row r="46" spans="1:9" x14ac:dyDescent="0.3">
      <c r="A46" s="3">
        <f t="shared" si="14"/>
        <v>41.5</v>
      </c>
      <c r="B46">
        <f t="shared" si="15"/>
        <v>0.94</v>
      </c>
    </row>
    <row r="47" spans="1:9" x14ac:dyDescent="0.3">
      <c r="A47" s="3">
        <f t="shared" si="14"/>
        <v>46.5</v>
      </c>
      <c r="B47">
        <f t="shared" si="15"/>
        <v>1</v>
      </c>
    </row>
  </sheetData>
  <mergeCells count="11">
    <mergeCell ref="A38:F38"/>
    <mergeCell ref="M4:O4"/>
    <mergeCell ref="M5:O5"/>
    <mergeCell ref="A1:J1"/>
    <mergeCell ref="M3:O3"/>
    <mergeCell ref="M2:Q2"/>
    <mergeCell ref="G15:I15"/>
    <mergeCell ref="G17:I17"/>
    <mergeCell ref="A26:F26"/>
    <mergeCell ref="A14:F14"/>
    <mergeCell ref="A13:C1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Пинчук</dc:creator>
  <cp:lastModifiedBy>Николай Пинчук</cp:lastModifiedBy>
  <dcterms:created xsi:type="dcterms:W3CDTF">2025-11-18T11:44:10Z</dcterms:created>
  <dcterms:modified xsi:type="dcterms:W3CDTF">2025-12-16T12:58:34Z</dcterms:modified>
</cp:coreProperties>
</file>